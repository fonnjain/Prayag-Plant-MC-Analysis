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MT Moulds Summary" sheetId="1" state="visible" r:id="rId3"/>
    <sheet name="PTMT %age Efficienc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<sst xmlns="http://schemas.openxmlformats.org/spreadsheetml/2006/main" count="83" uniqueCount="79">
  <si>
    <t xml:space="preserve">PTMT MOULDS SUMMARY — JUNE 2026</t>
  </si>
  <si>
    <t xml:space="preserve">PTMT plant | Recomputed from Report-5 (moulding M/C daily: output kg, run &amp; ideal hours) | kg</t>
  </si>
  <si>
    <t xml:space="preserve">Machine</t>
  </si>
  <si>
    <t xml:space="preserve">Output (KG)</t>
  </si>
  <si>
    <t xml:space="preserve">Run Hours</t>
  </si>
  <si>
    <t xml:space="preserve">Ideal Hours</t>
  </si>
  <si>
    <t xml:space="preserve">Utilisation %</t>
  </si>
  <si>
    <t xml:space="preserve">Avg Output / Hr</t>
  </si>
  <si>
    <t xml:space="preserve">80-1</t>
  </si>
  <si>
    <t xml:space="preserve">80-2</t>
  </si>
  <si>
    <t xml:space="preserve">80-3</t>
  </si>
  <si>
    <t xml:space="preserve">80-4</t>
  </si>
  <si>
    <t xml:space="preserve">80-5</t>
  </si>
  <si>
    <t xml:space="preserve">80-6</t>
  </si>
  <si>
    <t xml:space="preserve">110-1</t>
  </si>
  <si>
    <t xml:space="preserve">110-2</t>
  </si>
  <si>
    <t xml:space="preserve">110-3</t>
  </si>
  <si>
    <t xml:space="preserve">125-1</t>
  </si>
  <si>
    <t xml:space="preserve">125-2</t>
  </si>
  <si>
    <t xml:space="preserve">150-1</t>
  </si>
  <si>
    <t xml:space="preserve">150-2</t>
  </si>
  <si>
    <t xml:space="preserve">150-3</t>
  </si>
  <si>
    <t xml:space="preserve">150-4</t>
  </si>
  <si>
    <t xml:space="preserve">150-5</t>
  </si>
  <si>
    <t xml:space="preserve">150-6</t>
  </si>
  <si>
    <t xml:space="preserve">150-7</t>
  </si>
  <si>
    <t xml:space="preserve">150-8</t>
  </si>
  <si>
    <t xml:space="preserve">200-2</t>
  </si>
  <si>
    <t xml:space="preserve">200-3</t>
  </si>
  <si>
    <t xml:space="preserve">250-1</t>
  </si>
  <si>
    <t xml:space="preserve">250-2</t>
  </si>
  <si>
    <t xml:space="preserve">250-3</t>
  </si>
  <si>
    <t xml:space="preserve">250-4</t>
  </si>
  <si>
    <t xml:space="preserve">250-5</t>
  </si>
  <si>
    <t xml:space="preserve">250-6</t>
  </si>
  <si>
    <t xml:space="preserve">350-1</t>
  </si>
  <si>
    <t xml:space="preserve">350-2</t>
  </si>
  <si>
    <t xml:space="preserve">130-TON</t>
  </si>
  <si>
    <t xml:space="preserve">450-1</t>
  </si>
  <si>
    <t xml:space="preserve">N-80A</t>
  </si>
  <si>
    <t xml:space="preserve">N-80B</t>
  </si>
  <si>
    <t xml:space="preserve">N-110A</t>
  </si>
  <si>
    <t xml:space="preserve">N-110B</t>
  </si>
  <si>
    <t xml:space="preserve">N-110C</t>
  </si>
  <si>
    <t xml:space="preserve">N-110D</t>
  </si>
  <si>
    <t xml:space="preserve">N-110E</t>
  </si>
  <si>
    <t xml:space="preserve">N-110F</t>
  </si>
  <si>
    <t xml:space="preserve">N-200A</t>
  </si>
  <si>
    <t xml:space="preserve">N-200B</t>
  </si>
  <si>
    <t xml:space="preserve">N-200C</t>
  </si>
  <si>
    <t xml:space="preserve">N-200D</t>
  </si>
  <si>
    <t xml:space="preserve">N-200E</t>
  </si>
  <si>
    <t xml:space="preserve">N-200F</t>
  </si>
  <si>
    <t xml:space="preserve">N-200G</t>
  </si>
  <si>
    <t xml:space="preserve">N-200H</t>
  </si>
  <si>
    <t xml:space="preserve">N-200I</t>
  </si>
  <si>
    <t xml:space="preserve">Injection moulding subtotal</t>
  </si>
  <si>
    <t xml:space="preserve">Corrugater</t>
  </si>
  <si>
    <t xml:space="preserve">Blow Moulding-1</t>
  </si>
  <si>
    <t xml:space="preserve">Blow Moulding-2</t>
  </si>
  <si>
    <t xml:space="preserve">Blow Moulding-3</t>
  </si>
  <si>
    <t xml:space="preserve">Corrugator + Blow moulding subtotal</t>
  </si>
  <si>
    <t xml:space="preserve">GRAND TOTAL (all processes)</t>
  </si>
  <si>
    <t xml:space="preserve">Injection-moulding subtotal (141,097 kg) reconciles to the workbook's stored moulding total. Corrugator + Blow moulding shown apart (separate processes).</t>
  </si>
  <si>
    <t xml:space="preserve">PTMT output tracked in kg (Report-6 is shift/manpower, not pcs). Grinders excluded. Every figure recomputed from source; no value copied from the PTMT final sheet.</t>
  </si>
  <si>
    <t xml:space="preserve">PTMT MOULDING %AGE IN EFFICIENCY — JUNE 2026</t>
  </si>
  <si>
    <t xml:space="preserve">Injection moulding grouped by mould tonnage | Utilisation = run/ideal hours | from Report-5</t>
  </si>
  <si>
    <t xml:space="preserve">Tonnage Group</t>
  </si>
  <si>
    <t xml:space="preserve">Machines</t>
  </si>
  <si>
    <t xml:space="preserve">80 Ton</t>
  </si>
  <si>
    <t xml:space="preserve">110 Ton</t>
  </si>
  <si>
    <t xml:space="preserve">125 Ton</t>
  </si>
  <si>
    <t xml:space="preserve">130 Ton</t>
  </si>
  <si>
    <t xml:space="preserve">150 Ton</t>
  </si>
  <si>
    <t xml:space="preserve">200 Ton</t>
  </si>
  <si>
    <t xml:space="preserve">250 Ton</t>
  </si>
  <si>
    <t xml:space="preserve">350 Ton</t>
  </si>
  <si>
    <t xml:space="preserve">450 Ton</t>
  </si>
  <si>
    <t xml:space="preserve">INJECTION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</si>
</sst>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;\-"/>
    <numFmt numFmtId="166" formatCode="#,##0;\(#,##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0606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CE4D6"/>
        <bgColor rgb="FFD9D9D9"/>
      </patternFill>
    </fill>
    <fill>
      <patternFill patternType="solid">
        <fgColor rgb="FFD9D9D9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1012.3</v>
      </c>
      <c r="C5" s="6" t="n">
        <v>434</v>
      </c>
      <c r="D5" s="6" t="n">
        <v>572</v>
      </c>
      <c r="E5" s="7" t="n">
        <f aca="false">IFERROR(C5/D5,0)</f>
        <v>0.758741258741259</v>
      </c>
      <c r="F5" s="5" t="n">
        <f aca="false">IFERROR(B5/C5,0)</f>
        <v>2.33248847926267</v>
      </c>
    </row>
    <row r="6" customFormat="false" ht="15" hidden="false" customHeight="false" outlineLevel="0" collapsed="false">
      <c r="A6" s="4" t="s">
        <v>9</v>
      </c>
      <c r="B6" s="5" t="n">
        <v>0</v>
      </c>
      <c r="C6" s="6" t="n">
        <v>0</v>
      </c>
      <c r="D6" s="6" t="n">
        <v>572</v>
      </c>
      <c r="E6" s="7" t="n">
        <f aca="false">IFERROR(C6/D6,0)</f>
        <v>0</v>
      </c>
      <c r="F6" s="5" t="n">
        <f aca="false">IFERROR(B6/C6,0)</f>
        <v>0</v>
      </c>
    </row>
    <row r="7" customFormat="false" ht="15" hidden="false" customHeight="false" outlineLevel="0" collapsed="false">
      <c r="A7" s="4" t="s">
        <v>10</v>
      </c>
      <c r="B7" s="5" t="n">
        <v>1530.7</v>
      </c>
      <c r="C7" s="6" t="n">
        <v>414</v>
      </c>
      <c r="D7" s="6" t="n">
        <v>572</v>
      </c>
      <c r="E7" s="7" t="n">
        <f aca="false">IFERROR(C7/D7,0)</f>
        <v>0.723776223776224</v>
      </c>
      <c r="F7" s="5" t="n">
        <f aca="false">IFERROR(B7/C7,0)</f>
        <v>3.69734299516908</v>
      </c>
    </row>
    <row r="8" customFormat="false" ht="15" hidden="false" customHeight="false" outlineLevel="0" collapsed="false">
      <c r="A8" s="4" t="s">
        <v>11</v>
      </c>
      <c r="B8" s="5" t="n">
        <v>1114.7</v>
      </c>
      <c r="C8" s="6" t="n">
        <v>501</v>
      </c>
      <c r="D8" s="6" t="n">
        <v>572</v>
      </c>
      <c r="E8" s="7" t="n">
        <f aca="false">IFERROR(C8/D8,0)</f>
        <v>0.875874125874126</v>
      </c>
      <c r="F8" s="5" t="n">
        <f aca="false">IFERROR(B8/C8,0)</f>
        <v>2.2249500998004</v>
      </c>
    </row>
    <row r="9" customFormat="false" ht="15" hidden="false" customHeight="false" outlineLevel="0" collapsed="false">
      <c r="A9" s="4" t="s">
        <v>12</v>
      </c>
      <c r="B9" s="5" t="n">
        <v>855.9</v>
      </c>
      <c r="C9" s="6" t="n">
        <v>344</v>
      </c>
      <c r="D9" s="6" t="n">
        <v>572</v>
      </c>
      <c r="E9" s="7" t="n">
        <f aca="false">IFERROR(C9/D9,0)</f>
        <v>0.601398601398601</v>
      </c>
      <c r="F9" s="5" t="n">
        <f aca="false">IFERROR(B9/C9,0)</f>
        <v>2.48808139534884</v>
      </c>
    </row>
    <row r="10" customFormat="false" ht="15" hidden="false" customHeight="false" outlineLevel="0" collapsed="false">
      <c r="A10" s="4" t="s">
        <v>13</v>
      </c>
      <c r="B10" s="5" t="n">
        <v>939.9</v>
      </c>
      <c r="C10" s="6" t="n">
        <v>396</v>
      </c>
      <c r="D10" s="6" t="n">
        <v>572</v>
      </c>
      <c r="E10" s="7" t="n">
        <f aca="false">IFERROR(C10/D10,0)</f>
        <v>0.692307692307692</v>
      </c>
      <c r="F10" s="5" t="n">
        <f aca="false">IFERROR(B10/C10,0)</f>
        <v>2.37348484848485</v>
      </c>
    </row>
    <row r="11" customFormat="false" ht="15" hidden="false" customHeight="false" outlineLevel="0" collapsed="false">
      <c r="A11" s="4" t="s">
        <v>14</v>
      </c>
      <c r="B11" s="5" t="n">
        <v>965.3</v>
      </c>
      <c r="C11" s="6" t="n">
        <v>312</v>
      </c>
      <c r="D11" s="6" t="n">
        <v>572</v>
      </c>
      <c r="E11" s="7" t="n">
        <f aca="false">IFERROR(C11/D11,0)</f>
        <v>0.545454545454545</v>
      </c>
      <c r="F11" s="5" t="n">
        <f aca="false">IFERROR(B11/C11,0)</f>
        <v>3.09391025641026</v>
      </c>
    </row>
    <row r="12" customFormat="false" ht="15" hidden="false" customHeight="false" outlineLevel="0" collapsed="false">
      <c r="A12" s="4" t="s">
        <v>15</v>
      </c>
      <c r="B12" s="5" t="n">
        <v>1932.3</v>
      </c>
      <c r="C12" s="6" t="n">
        <v>470</v>
      </c>
      <c r="D12" s="6" t="n">
        <v>572</v>
      </c>
      <c r="E12" s="7" t="n">
        <f aca="false">IFERROR(C12/D12,0)</f>
        <v>0.821678321678322</v>
      </c>
      <c r="F12" s="5" t="n">
        <f aca="false">IFERROR(B12/C12,0)</f>
        <v>4.11127659574468</v>
      </c>
    </row>
    <row r="13" customFormat="false" ht="15" hidden="false" customHeight="false" outlineLevel="0" collapsed="false">
      <c r="A13" s="4" t="s">
        <v>16</v>
      </c>
      <c r="B13" s="5" t="n">
        <v>2581.2</v>
      </c>
      <c r="C13" s="6" t="n">
        <v>566</v>
      </c>
      <c r="D13" s="6" t="n">
        <v>572</v>
      </c>
      <c r="E13" s="7" t="n">
        <f aca="false">IFERROR(C13/D13,0)</f>
        <v>0.98951048951049</v>
      </c>
      <c r="F13" s="5" t="n">
        <f aca="false">IFERROR(B13/C13,0)</f>
        <v>4.56042402826855</v>
      </c>
    </row>
    <row r="14" customFormat="false" ht="15" hidden="false" customHeight="false" outlineLevel="0" collapsed="false">
      <c r="A14" s="4" t="s">
        <v>17</v>
      </c>
      <c r="B14" s="5" t="n">
        <v>683.6</v>
      </c>
      <c r="C14" s="6" t="n">
        <v>279</v>
      </c>
      <c r="D14" s="6" t="n">
        <v>572</v>
      </c>
      <c r="E14" s="7" t="n">
        <f aca="false">IFERROR(C14/D14,0)</f>
        <v>0.487762237762238</v>
      </c>
      <c r="F14" s="5" t="n">
        <f aca="false">IFERROR(B14/C14,0)</f>
        <v>2.45017921146953</v>
      </c>
    </row>
    <row r="15" customFormat="false" ht="15" hidden="false" customHeight="false" outlineLevel="0" collapsed="false">
      <c r="A15" s="4" t="s">
        <v>18</v>
      </c>
      <c r="B15" s="5" t="n">
        <v>2214.8</v>
      </c>
      <c r="C15" s="6" t="n">
        <v>475</v>
      </c>
      <c r="D15" s="6" t="n">
        <v>572</v>
      </c>
      <c r="E15" s="7" t="n">
        <f aca="false">IFERROR(C15/D15,0)</f>
        <v>0.83041958041958</v>
      </c>
      <c r="F15" s="5" t="n">
        <f aca="false">IFERROR(B15/C15,0)</f>
        <v>4.66273684210526</v>
      </c>
    </row>
    <row r="16" customFormat="false" ht="15" hidden="false" customHeight="false" outlineLevel="0" collapsed="false">
      <c r="A16" s="4" t="s">
        <v>19</v>
      </c>
      <c r="B16" s="5" t="n">
        <v>1584.5</v>
      </c>
      <c r="C16" s="6" t="n">
        <v>311</v>
      </c>
      <c r="D16" s="6" t="n">
        <v>572</v>
      </c>
      <c r="E16" s="7" t="n">
        <f aca="false">IFERROR(C16/D16,0)</f>
        <v>0.543706293706294</v>
      </c>
      <c r="F16" s="5" t="n">
        <f aca="false">IFERROR(B16/C16,0)</f>
        <v>5.09485530546624</v>
      </c>
    </row>
    <row r="17" customFormat="false" ht="15" hidden="false" customHeight="false" outlineLevel="0" collapsed="false">
      <c r="A17" s="4" t="s">
        <v>20</v>
      </c>
      <c r="B17" s="5" t="n">
        <v>1476.3</v>
      </c>
      <c r="C17" s="6" t="n">
        <v>438</v>
      </c>
      <c r="D17" s="6" t="n">
        <v>572</v>
      </c>
      <c r="E17" s="7" t="n">
        <f aca="false">IFERROR(C17/D17,0)</f>
        <v>0.765734265734266</v>
      </c>
      <c r="F17" s="5" t="n">
        <f aca="false">IFERROR(B17/C17,0)</f>
        <v>3.37054794520548</v>
      </c>
    </row>
    <row r="18" customFormat="false" ht="15" hidden="false" customHeight="false" outlineLevel="0" collapsed="false">
      <c r="A18" s="4" t="s">
        <v>21</v>
      </c>
      <c r="B18" s="5" t="n">
        <v>1315.8</v>
      </c>
      <c r="C18" s="6" t="n">
        <v>357</v>
      </c>
      <c r="D18" s="6" t="n">
        <v>572</v>
      </c>
      <c r="E18" s="7" t="n">
        <f aca="false">IFERROR(C18/D18,0)</f>
        <v>0.624125874125874</v>
      </c>
      <c r="F18" s="5" t="n">
        <f aca="false">IFERROR(B18/C18,0)</f>
        <v>3.68571428571429</v>
      </c>
    </row>
    <row r="19" customFormat="false" ht="15" hidden="false" customHeight="false" outlineLevel="0" collapsed="false">
      <c r="A19" s="4" t="s">
        <v>22</v>
      </c>
      <c r="B19" s="5" t="n">
        <v>2053.7</v>
      </c>
      <c r="C19" s="6" t="n">
        <v>445</v>
      </c>
      <c r="D19" s="6" t="n">
        <v>572</v>
      </c>
      <c r="E19" s="7" t="n">
        <f aca="false">IFERROR(C19/D19,0)</f>
        <v>0.777972027972028</v>
      </c>
      <c r="F19" s="5" t="n">
        <f aca="false">IFERROR(B19/C19,0)</f>
        <v>4.61505617977528</v>
      </c>
    </row>
    <row r="20" customFormat="false" ht="15" hidden="false" customHeight="false" outlineLevel="0" collapsed="false">
      <c r="A20" s="4" t="s">
        <v>23</v>
      </c>
      <c r="B20" s="5" t="n">
        <v>2985.6</v>
      </c>
      <c r="C20" s="6" t="n">
        <v>459</v>
      </c>
      <c r="D20" s="6" t="n">
        <v>572</v>
      </c>
      <c r="E20" s="7" t="n">
        <f aca="false">IFERROR(C20/D20,0)</f>
        <v>0.802447552447552</v>
      </c>
      <c r="F20" s="5" t="n">
        <f aca="false">IFERROR(B20/C20,0)</f>
        <v>6.50457516339869</v>
      </c>
    </row>
    <row r="21" customFormat="false" ht="15" hidden="false" customHeight="false" outlineLevel="0" collapsed="false">
      <c r="A21" s="4" t="s">
        <v>24</v>
      </c>
      <c r="B21" s="5" t="n">
        <v>0</v>
      </c>
      <c r="C21" s="6" t="n">
        <v>0</v>
      </c>
      <c r="D21" s="6" t="n">
        <v>572</v>
      </c>
      <c r="E21" s="7" t="n">
        <f aca="false">IFERROR(C21/D21,0)</f>
        <v>0</v>
      </c>
      <c r="F21" s="5" t="n">
        <f aca="false">IFERROR(B21/C21,0)</f>
        <v>0</v>
      </c>
    </row>
    <row r="22" customFormat="false" ht="15" hidden="false" customHeight="false" outlineLevel="0" collapsed="false">
      <c r="A22" s="4" t="s">
        <v>25</v>
      </c>
      <c r="B22" s="5" t="n">
        <v>2649.5</v>
      </c>
      <c r="C22" s="6" t="n">
        <v>510</v>
      </c>
      <c r="D22" s="6" t="n">
        <v>572</v>
      </c>
      <c r="E22" s="7" t="n">
        <f aca="false">IFERROR(C22/D22,0)</f>
        <v>0.891608391608392</v>
      </c>
      <c r="F22" s="5" t="n">
        <f aca="false">IFERROR(B22/C22,0)</f>
        <v>5.19509803921569</v>
      </c>
    </row>
    <row r="23" customFormat="false" ht="15" hidden="false" customHeight="false" outlineLevel="0" collapsed="false">
      <c r="A23" s="4" t="s">
        <v>26</v>
      </c>
      <c r="B23" s="5" t="n">
        <v>2205.7</v>
      </c>
      <c r="C23" s="6" t="n">
        <v>499</v>
      </c>
      <c r="D23" s="6" t="n">
        <v>572</v>
      </c>
      <c r="E23" s="7" t="n">
        <f aca="false">IFERROR(C23/D23,0)</f>
        <v>0.872377622377622</v>
      </c>
      <c r="F23" s="5" t="n">
        <f aca="false">IFERROR(B23/C23,0)</f>
        <v>4.42024048096192</v>
      </c>
    </row>
    <row r="24" customFormat="false" ht="15" hidden="false" customHeight="false" outlineLevel="0" collapsed="false">
      <c r="A24" s="4" t="s">
        <v>27</v>
      </c>
      <c r="B24" s="5" t="n">
        <v>3230.5</v>
      </c>
      <c r="C24" s="6" t="n">
        <v>531</v>
      </c>
      <c r="D24" s="6" t="n">
        <v>572</v>
      </c>
      <c r="E24" s="7" t="n">
        <f aca="false">IFERROR(C24/D24,0)</f>
        <v>0.928321678321678</v>
      </c>
      <c r="F24" s="5" t="n">
        <f aca="false">IFERROR(B24/C24,0)</f>
        <v>6.08380414312618</v>
      </c>
    </row>
    <row r="25" customFormat="false" ht="15" hidden="false" customHeight="false" outlineLevel="0" collapsed="false">
      <c r="A25" s="4" t="s">
        <v>28</v>
      </c>
      <c r="B25" s="5" t="n">
        <v>2727.4</v>
      </c>
      <c r="C25" s="6" t="n">
        <v>533</v>
      </c>
      <c r="D25" s="6" t="n">
        <v>572</v>
      </c>
      <c r="E25" s="7" t="n">
        <f aca="false">IFERROR(C25/D25,0)</f>
        <v>0.931818181818182</v>
      </c>
      <c r="F25" s="5" t="n">
        <f aca="false">IFERROR(B25/C25,0)</f>
        <v>5.11707317073171</v>
      </c>
    </row>
    <row r="26" customFormat="false" ht="15" hidden="false" customHeight="false" outlineLevel="0" collapsed="false">
      <c r="A26" s="4" t="s">
        <v>29</v>
      </c>
      <c r="B26" s="5" t="n">
        <v>3829.8</v>
      </c>
      <c r="C26" s="6" t="n">
        <v>407</v>
      </c>
      <c r="D26" s="6" t="n">
        <v>572</v>
      </c>
      <c r="E26" s="7" t="n">
        <f aca="false">IFERROR(C26/D26,0)</f>
        <v>0.711538461538462</v>
      </c>
      <c r="F26" s="5" t="n">
        <f aca="false">IFERROR(B26/C26,0)</f>
        <v>9.40982800982801</v>
      </c>
    </row>
    <row r="27" customFormat="false" ht="15" hidden="false" customHeight="false" outlineLevel="0" collapsed="false">
      <c r="A27" s="4" t="s">
        <v>30</v>
      </c>
      <c r="B27" s="5" t="n">
        <v>3008.3</v>
      </c>
      <c r="C27" s="6" t="n">
        <v>339</v>
      </c>
      <c r="D27" s="6" t="n">
        <v>572</v>
      </c>
      <c r="E27" s="7" t="n">
        <f aca="false">IFERROR(C27/D27,0)</f>
        <v>0.592657342657343</v>
      </c>
      <c r="F27" s="5" t="n">
        <f aca="false">IFERROR(B27/C27,0)</f>
        <v>8.8740412979351</v>
      </c>
    </row>
    <row r="28" customFormat="false" ht="15" hidden="false" customHeight="false" outlineLevel="0" collapsed="false">
      <c r="A28" s="4" t="s">
        <v>31</v>
      </c>
      <c r="B28" s="5" t="n">
        <v>4171.2</v>
      </c>
      <c r="C28" s="6" t="n">
        <v>375</v>
      </c>
      <c r="D28" s="6" t="n">
        <v>572</v>
      </c>
      <c r="E28" s="7" t="n">
        <f aca="false">IFERROR(C28/D28,0)</f>
        <v>0.655594405594406</v>
      </c>
      <c r="F28" s="5" t="n">
        <f aca="false">IFERROR(B28/C28,0)</f>
        <v>11.1232</v>
      </c>
    </row>
    <row r="29" customFormat="false" ht="15" hidden="false" customHeight="false" outlineLevel="0" collapsed="false">
      <c r="A29" s="4" t="s">
        <v>32</v>
      </c>
      <c r="B29" s="5" t="n">
        <v>3505.7</v>
      </c>
      <c r="C29" s="6" t="n">
        <v>409</v>
      </c>
      <c r="D29" s="6" t="n">
        <v>572</v>
      </c>
      <c r="E29" s="7" t="n">
        <f aca="false">IFERROR(C29/D29,0)</f>
        <v>0.715034965034965</v>
      </c>
      <c r="F29" s="5" t="n">
        <f aca="false">IFERROR(B29/C29,0)</f>
        <v>8.57139364303179</v>
      </c>
    </row>
    <row r="30" customFormat="false" ht="15" hidden="false" customHeight="false" outlineLevel="0" collapsed="false">
      <c r="A30" s="4" t="s">
        <v>33</v>
      </c>
      <c r="B30" s="5" t="n">
        <v>3999.6</v>
      </c>
      <c r="C30" s="6" t="n">
        <v>406</v>
      </c>
      <c r="D30" s="6" t="n">
        <v>572</v>
      </c>
      <c r="E30" s="7" t="n">
        <f aca="false">IFERROR(C30/D30,0)</f>
        <v>0.70979020979021</v>
      </c>
      <c r="F30" s="5" t="n">
        <f aca="false">IFERROR(B30/C30,0)</f>
        <v>9.8512315270936</v>
      </c>
    </row>
    <row r="31" customFormat="false" ht="15" hidden="false" customHeight="false" outlineLevel="0" collapsed="false">
      <c r="A31" s="4" t="s">
        <v>34</v>
      </c>
      <c r="B31" s="5" t="n">
        <v>5265.6</v>
      </c>
      <c r="C31" s="6" t="n">
        <v>412</v>
      </c>
      <c r="D31" s="6" t="n">
        <v>572</v>
      </c>
      <c r="E31" s="7" t="n">
        <f aca="false">IFERROR(C31/D31,0)</f>
        <v>0.72027972027972</v>
      </c>
      <c r="F31" s="5" t="n">
        <f aca="false">IFERROR(B31/C31,0)</f>
        <v>12.7805825242718</v>
      </c>
    </row>
    <row r="32" customFormat="false" ht="15" hidden="false" customHeight="false" outlineLevel="0" collapsed="false">
      <c r="A32" s="4" t="s">
        <v>35</v>
      </c>
      <c r="B32" s="5" t="n">
        <v>7781.9</v>
      </c>
      <c r="C32" s="6" t="n">
        <v>294</v>
      </c>
      <c r="D32" s="6" t="n">
        <v>572</v>
      </c>
      <c r="E32" s="7" t="n">
        <f aca="false">IFERROR(C32/D32,0)</f>
        <v>0.513986013986014</v>
      </c>
      <c r="F32" s="5" t="n">
        <f aca="false">IFERROR(B32/C32,0)</f>
        <v>26.4690476190476</v>
      </c>
    </row>
    <row r="33" customFormat="false" ht="15" hidden="false" customHeight="false" outlineLevel="0" collapsed="false">
      <c r="A33" s="4" t="s">
        <v>36</v>
      </c>
      <c r="B33" s="5" t="n">
        <v>8799</v>
      </c>
      <c r="C33" s="6" t="n">
        <v>419</v>
      </c>
      <c r="D33" s="6" t="n">
        <v>572</v>
      </c>
      <c r="E33" s="7" t="n">
        <f aca="false">IFERROR(C33/D33,0)</f>
        <v>0.732517482517483</v>
      </c>
      <c r="F33" s="5" t="n">
        <f aca="false">IFERROR(B33/C33,0)</f>
        <v>21</v>
      </c>
    </row>
    <row r="34" customFormat="false" ht="15" hidden="false" customHeight="false" outlineLevel="0" collapsed="false">
      <c r="A34" s="4" t="s">
        <v>37</v>
      </c>
      <c r="B34" s="5" t="n">
        <v>0</v>
      </c>
      <c r="C34" s="6" t="n">
        <v>0</v>
      </c>
      <c r="D34" s="6" t="n">
        <v>572</v>
      </c>
      <c r="E34" s="7" t="n">
        <f aca="false">IFERROR(C34/D34,0)</f>
        <v>0</v>
      </c>
      <c r="F34" s="5" t="n">
        <f aca="false">IFERROR(B34/C34,0)</f>
        <v>0</v>
      </c>
    </row>
    <row r="35" customFormat="false" ht="15" hidden="false" customHeight="false" outlineLevel="0" collapsed="false">
      <c r="A35" s="4" t="s">
        <v>38</v>
      </c>
      <c r="B35" s="5" t="n">
        <v>11723.9</v>
      </c>
      <c r="C35" s="6" t="n">
        <v>300</v>
      </c>
      <c r="D35" s="6" t="n">
        <v>572</v>
      </c>
      <c r="E35" s="7" t="n">
        <f aca="false">IFERROR(C35/D35,0)</f>
        <v>0.524475524475525</v>
      </c>
      <c r="F35" s="5" t="n">
        <f aca="false">IFERROR(B35/C35,0)</f>
        <v>39.0796666666667</v>
      </c>
    </row>
    <row r="36" customFormat="false" ht="15" hidden="false" customHeight="false" outlineLevel="0" collapsed="false">
      <c r="A36" s="4" t="s">
        <v>39</v>
      </c>
      <c r="B36" s="5" t="n">
        <v>1621.3</v>
      </c>
      <c r="C36" s="6" t="n">
        <v>478</v>
      </c>
      <c r="D36" s="6" t="n">
        <v>572</v>
      </c>
      <c r="E36" s="7" t="n">
        <f aca="false">IFERROR(C36/D36,0)</f>
        <v>0.835664335664336</v>
      </c>
      <c r="F36" s="5" t="n">
        <f aca="false">IFERROR(B36/C36,0)</f>
        <v>3.3918410041841</v>
      </c>
    </row>
    <row r="37" customFormat="false" ht="15" hidden="false" customHeight="false" outlineLevel="0" collapsed="false">
      <c r="A37" s="4" t="s">
        <v>40</v>
      </c>
      <c r="B37" s="5" t="n">
        <v>1316.1</v>
      </c>
      <c r="C37" s="6" t="n">
        <v>471</v>
      </c>
      <c r="D37" s="6" t="n">
        <v>572</v>
      </c>
      <c r="E37" s="7" t="n">
        <f aca="false">IFERROR(C37/D37,0)</f>
        <v>0.823426573426573</v>
      </c>
      <c r="F37" s="5" t="n">
        <f aca="false">IFERROR(B37/C37,0)</f>
        <v>2.79426751592357</v>
      </c>
    </row>
    <row r="38" customFormat="false" ht="15" hidden="false" customHeight="false" outlineLevel="0" collapsed="false">
      <c r="A38" s="4" t="s">
        <v>41</v>
      </c>
      <c r="B38" s="5" t="n">
        <v>1988.2</v>
      </c>
      <c r="C38" s="6" t="n">
        <v>412</v>
      </c>
      <c r="D38" s="6" t="n">
        <v>572</v>
      </c>
      <c r="E38" s="7" t="n">
        <f aca="false">IFERROR(C38/D38,0)</f>
        <v>0.72027972027972</v>
      </c>
      <c r="F38" s="5" t="n">
        <f aca="false">IFERROR(B38/C38,0)</f>
        <v>4.82572815533981</v>
      </c>
    </row>
    <row r="39" customFormat="false" ht="15" hidden="false" customHeight="false" outlineLevel="0" collapsed="false">
      <c r="A39" s="4" t="s">
        <v>42</v>
      </c>
      <c r="B39" s="5" t="n">
        <v>2476.6</v>
      </c>
      <c r="C39" s="6" t="n">
        <v>587</v>
      </c>
      <c r="D39" s="6" t="n">
        <v>572</v>
      </c>
      <c r="E39" s="7" t="n">
        <f aca="false">IFERROR(C39/D39,0)</f>
        <v>1.02622377622378</v>
      </c>
      <c r="F39" s="5" t="n">
        <f aca="false">IFERROR(B39/C39,0)</f>
        <v>4.2190800681431</v>
      </c>
    </row>
    <row r="40" customFormat="false" ht="15" hidden="false" customHeight="false" outlineLevel="0" collapsed="false">
      <c r="A40" s="4" t="s">
        <v>43</v>
      </c>
      <c r="B40" s="5" t="n">
        <v>1948.4</v>
      </c>
      <c r="C40" s="6" t="n">
        <v>533</v>
      </c>
      <c r="D40" s="6" t="n">
        <v>572</v>
      </c>
      <c r="E40" s="7" t="n">
        <f aca="false">IFERROR(C40/D40,0)</f>
        <v>0.931818181818182</v>
      </c>
      <c r="F40" s="5" t="n">
        <f aca="false">IFERROR(B40/C40,0)</f>
        <v>3.65553470919325</v>
      </c>
    </row>
    <row r="41" customFormat="false" ht="15" hidden="false" customHeight="false" outlineLevel="0" collapsed="false">
      <c r="A41" s="4" t="s">
        <v>44</v>
      </c>
      <c r="B41" s="5" t="n">
        <v>2082.2</v>
      </c>
      <c r="C41" s="6" t="n">
        <v>472</v>
      </c>
      <c r="D41" s="6" t="n">
        <v>572</v>
      </c>
      <c r="E41" s="7" t="n">
        <f aca="false">IFERROR(C41/D41,0)</f>
        <v>0.825174825174825</v>
      </c>
      <c r="F41" s="5" t="n">
        <f aca="false">IFERROR(B41/C41,0)</f>
        <v>4.4114406779661</v>
      </c>
    </row>
    <row r="42" customFormat="false" ht="15" hidden="false" customHeight="false" outlineLevel="0" collapsed="false">
      <c r="A42" s="4" t="s">
        <v>45</v>
      </c>
      <c r="B42" s="5" t="n">
        <v>4037</v>
      </c>
      <c r="C42" s="6" t="n">
        <v>570</v>
      </c>
      <c r="D42" s="6" t="n">
        <v>572</v>
      </c>
      <c r="E42" s="7" t="n">
        <f aca="false">IFERROR(C42/D42,0)</f>
        <v>0.996503496503497</v>
      </c>
      <c r="F42" s="5" t="n">
        <f aca="false">IFERROR(B42/C42,0)</f>
        <v>7.08245614035088</v>
      </c>
    </row>
    <row r="43" customFormat="false" ht="15" hidden="false" customHeight="false" outlineLevel="0" collapsed="false">
      <c r="A43" s="4" t="s">
        <v>46</v>
      </c>
      <c r="B43" s="5" t="n">
        <v>1868.9</v>
      </c>
      <c r="C43" s="6" t="n">
        <v>578</v>
      </c>
      <c r="D43" s="6" t="n">
        <v>572</v>
      </c>
      <c r="E43" s="7" t="n">
        <f aca="false">IFERROR(C43/D43,0)</f>
        <v>1.01048951048951</v>
      </c>
      <c r="F43" s="5" t="n">
        <f aca="false">IFERROR(B43/C43,0)</f>
        <v>3.23339100346021</v>
      </c>
    </row>
    <row r="44" customFormat="false" ht="15" hidden="false" customHeight="false" outlineLevel="0" collapsed="false">
      <c r="A44" s="4" t="s">
        <v>47</v>
      </c>
      <c r="B44" s="5" t="n">
        <v>2091.9</v>
      </c>
      <c r="C44" s="6" t="n">
        <v>350</v>
      </c>
      <c r="D44" s="6" t="n">
        <v>572</v>
      </c>
      <c r="E44" s="7" t="n">
        <f aca="false">IFERROR(C44/D44,0)</f>
        <v>0.611888111888112</v>
      </c>
      <c r="F44" s="5" t="n">
        <f aca="false">IFERROR(B44/C44,0)</f>
        <v>5.97685714285714</v>
      </c>
    </row>
    <row r="45" customFormat="false" ht="15" hidden="false" customHeight="false" outlineLevel="0" collapsed="false">
      <c r="A45" s="4" t="s">
        <v>48</v>
      </c>
      <c r="B45" s="5" t="n">
        <v>4110.5</v>
      </c>
      <c r="C45" s="6" t="n">
        <v>499</v>
      </c>
      <c r="D45" s="6" t="n">
        <v>572</v>
      </c>
      <c r="E45" s="7" t="n">
        <f aca="false">IFERROR(C45/D45,0)</f>
        <v>0.872377622377622</v>
      </c>
      <c r="F45" s="5" t="n">
        <f aca="false">IFERROR(B45/C45,0)</f>
        <v>8.2374749498998</v>
      </c>
    </row>
    <row r="46" customFormat="false" ht="15" hidden="false" customHeight="false" outlineLevel="0" collapsed="false">
      <c r="A46" s="4" t="s">
        <v>49</v>
      </c>
      <c r="B46" s="5" t="n">
        <v>2023.4</v>
      </c>
      <c r="C46" s="6" t="n">
        <v>325</v>
      </c>
      <c r="D46" s="6" t="n">
        <v>572</v>
      </c>
      <c r="E46" s="7" t="n">
        <f aca="false">IFERROR(C46/D46,0)</f>
        <v>0.568181818181818</v>
      </c>
      <c r="F46" s="5" t="n">
        <f aca="false">IFERROR(B46/C46,0)</f>
        <v>6.22584615384615</v>
      </c>
    </row>
    <row r="47" customFormat="false" ht="15" hidden="false" customHeight="false" outlineLevel="0" collapsed="false">
      <c r="A47" s="4" t="s">
        <v>50</v>
      </c>
      <c r="B47" s="5" t="n">
        <v>8791.2</v>
      </c>
      <c r="C47" s="6" t="n">
        <v>571</v>
      </c>
      <c r="D47" s="6" t="n">
        <v>572</v>
      </c>
      <c r="E47" s="7" t="n">
        <f aca="false">IFERROR(C47/D47,0)</f>
        <v>0.998251748251748</v>
      </c>
      <c r="F47" s="5" t="n">
        <f aca="false">IFERROR(B47/C47,0)</f>
        <v>15.3961471103328</v>
      </c>
    </row>
    <row r="48" customFormat="false" ht="15" hidden="false" customHeight="false" outlineLevel="0" collapsed="false">
      <c r="A48" s="4" t="s">
        <v>51</v>
      </c>
      <c r="B48" s="5" t="n">
        <v>5143</v>
      </c>
      <c r="C48" s="6" t="n">
        <v>479</v>
      </c>
      <c r="D48" s="6" t="n">
        <v>572</v>
      </c>
      <c r="E48" s="7" t="n">
        <f aca="false">IFERROR(C48/D48,0)</f>
        <v>0.837412587412587</v>
      </c>
      <c r="F48" s="5" t="n">
        <f aca="false">IFERROR(B48/C48,0)</f>
        <v>10.7369519832985</v>
      </c>
    </row>
    <row r="49" customFormat="false" ht="15" hidden="false" customHeight="false" outlineLevel="0" collapsed="false">
      <c r="A49" s="4" t="s">
        <v>52</v>
      </c>
      <c r="B49" s="5" t="n">
        <v>3142.7</v>
      </c>
      <c r="C49" s="6" t="n">
        <v>457</v>
      </c>
      <c r="D49" s="6" t="n">
        <v>572</v>
      </c>
      <c r="E49" s="7" t="n">
        <f aca="false">IFERROR(C49/D49,0)</f>
        <v>0.798951048951049</v>
      </c>
      <c r="F49" s="5" t="n">
        <f aca="false">IFERROR(B49/C49,0)</f>
        <v>6.87680525164114</v>
      </c>
    </row>
    <row r="50" customFormat="false" ht="15" hidden="false" customHeight="false" outlineLevel="0" collapsed="false">
      <c r="A50" s="4" t="s">
        <v>53</v>
      </c>
      <c r="B50" s="5" t="n">
        <v>3187.1</v>
      </c>
      <c r="C50" s="6" t="n">
        <v>545</v>
      </c>
      <c r="D50" s="6" t="n">
        <v>572</v>
      </c>
      <c r="E50" s="7" t="n">
        <f aca="false">IFERROR(C50/D50,0)</f>
        <v>0.952797202797203</v>
      </c>
      <c r="F50" s="5" t="n">
        <f aca="false">IFERROR(B50/C50,0)</f>
        <v>5.84788990825688</v>
      </c>
    </row>
    <row r="51" customFormat="false" ht="15" hidden="false" customHeight="false" outlineLevel="0" collapsed="false">
      <c r="A51" s="4" t="s">
        <v>54</v>
      </c>
      <c r="B51" s="5" t="n">
        <v>4514.1</v>
      </c>
      <c r="C51" s="6" t="n">
        <v>497</v>
      </c>
      <c r="D51" s="6" t="n">
        <v>572</v>
      </c>
      <c r="E51" s="7" t="n">
        <f aca="false">IFERROR(C51/D51,0)</f>
        <v>0.868881118881119</v>
      </c>
      <c r="F51" s="5" t="n">
        <f aca="false">IFERROR(B51/C51,0)</f>
        <v>9.08269617706238</v>
      </c>
    </row>
    <row r="52" customFormat="false" ht="15" hidden="false" customHeight="false" outlineLevel="0" collapsed="false">
      <c r="A52" s="4" t="s">
        <v>55</v>
      </c>
      <c r="B52" s="5" t="n">
        <v>4610.2</v>
      </c>
      <c r="C52" s="6" t="n">
        <v>524</v>
      </c>
      <c r="D52" s="6" t="n">
        <v>572</v>
      </c>
      <c r="E52" s="7" t="n">
        <f aca="false">IFERROR(C52/D52,0)</f>
        <v>0.916083916083916</v>
      </c>
      <c r="F52" s="5" t="n">
        <f aca="false">IFERROR(B52/C52,0)</f>
        <v>8.79809160305343</v>
      </c>
    </row>
    <row r="53" customFormat="false" ht="15" hidden="false" customHeight="false" outlineLevel="0" collapsed="false">
      <c r="A53" s="8" t="s">
        <v>56</v>
      </c>
      <c r="B53" s="9" t="n">
        <f aca="false">SUM(B5:B52)</f>
        <v>141097.5</v>
      </c>
      <c r="C53" s="10" t="n">
        <f aca="false">SUM(C5:C52)</f>
        <v>19983</v>
      </c>
      <c r="D53" s="10" t="n">
        <f aca="false">SUM(D5:D52)</f>
        <v>27456</v>
      </c>
      <c r="E53" s="11" t="n">
        <f aca="false">IFERROR(C53/D53,0)</f>
        <v>0.727819055944056</v>
      </c>
      <c r="F53" s="9" t="n">
        <f aca="false">IFERROR(B53/C53,0)</f>
        <v>7.06087674523345</v>
      </c>
    </row>
    <row r="54" customFormat="false" ht="15" hidden="false" customHeight="false" outlineLevel="0" collapsed="false">
      <c r="A54" s="4" t="s">
        <v>57</v>
      </c>
      <c r="B54" s="5" t="n">
        <v>10109.4</v>
      </c>
      <c r="C54" s="6" t="n">
        <v>506</v>
      </c>
      <c r="D54" s="6" t="n">
        <v>572</v>
      </c>
      <c r="E54" s="7" t="n">
        <f aca="false">IFERROR(C54/D54,0)</f>
        <v>0.884615384615385</v>
      </c>
      <c r="F54" s="5" t="n">
        <f aca="false">IFERROR(B54/C54,0)</f>
        <v>19.9790513833992</v>
      </c>
    </row>
    <row r="55" customFormat="false" ht="15" hidden="false" customHeight="false" outlineLevel="0" collapsed="false">
      <c r="A55" s="4" t="s">
        <v>58</v>
      </c>
      <c r="B55" s="5" t="n">
        <v>1674.7</v>
      </c>
      <c r="C55" s="6" t="n">
        <v>360</v>
      </c>
      <c r="D55" s="6" t="n">
        <v>572</v>
      </c>
      <c r="E55" s="7" t="n">
        <f aca="false">IFERROR(C55/D55,0)</f>
        <v>0.629370629370629</v>
      </c>
      <c r="F55" s="5" t="n">
        <f aca="false">IFERROR(B55/C55,0)</f>
        <v>4.65194444444444</v>
      </c>
    </row>
    <row r="56" customFormat="false" ht="15" hidden="false" customHeight="false" outlineLevel="0" collapsed="false">
      <c r="A56" s="4" t="s">
        <v>59</v>
      </c>
      <c r="B56" s="5" t="n">
        <v>1553.8</v>
      </c>
      <c r="C56" s="6" t="n">
        <v>278</v>
      </c>
      <c r="D56" s="6" t="n">
        <v>572</v>
      </c>
      <c r="E56" s="7" t="n">
        <f aca="false">IFERROR(C56/D56,0)</f>
        <v>0.486013986013986</v>
      </c>
      <c r="F56" s="5" t="n">
        <f aca="false">IFERROR(B56/C56,0)</f>
        <v>5.58920863309353</v>
      </c>
    </row>
    <row r="57" customFormat="false" ht="15" hidden="false" customHeight="false" outlineLevel="0" collapsed="false">
      <c r="A57" s="4" t="s">
        <v>60</v>
      </c>
      <c r="B57" s="5" t="n">
        <v>2542</v>
      </c>
      <c r="C57" s="6" t="n">
        <v>347</v>
      </c>
      <c r="D57" s="6" t="n">
        <v>572</v>
      </c>
      <c r="E57" s="7" t="n">
        <f aca="false">IFERROR(C57/D57,0)</f>
        <v>0.606643356643357</v>
      </c>
      <c r="F57" s="5" t="n">
        <f aca="false">IFERROR(B57/C57,0)</f>
        <v>7.32564841498559</v>
      </c>
    </row>
    <row r="58" customFormat="false" ht="15" hidden="false" customHeight="false" outlineLevel="0" collapsed="false">
      <c r="A58" s="8" t="s">
        <v>61</v>
      </c>
      <c r="B58" s="9" t="n">
        <f aca="false">SUM(B54:B57)</f>
        <v>15879.9</v>
      </c>
      <c r="C58" s="10" t="n">
        <f aca="false">SUM(C54:C57)</f>
        <v>1491</v>
      </c>
      <c r="D58" s="10" t="n">
        <f aca="false">SUM(D54:D57)</f>
        <v>2288</v>
      </c>
      <c r="E58" s="11" t="n">
        <f aca="false">IFERROR(C58/D58,0)</f>
        <v>0.651660839160839</v>
      </c>
      <c r="F58" s="9" t="n">
        <f aca="false">IFERROR(B58/C58,0)</f>
        <v>10.6505030181087</v>
      </c>
    </row>
    <row r="59" customFormat="false" ht="15" hidden="false" customHeight="false" outlineLevel="0" collapsed="false">
      <c r="A59" s="12" t="s">
        <v>62</v>
      </c>
      <c r="B59" s="13" t="n">
        <f aca="false">B53+B58</f>
        <v>156977.4</v>
      </c>
      <c r="C59" s="14" t="n">
        <f aca="false">C53+C58</f>
        <v>21474</v>
      </c>
      <c r="D59" s="14" t="n">
        <f aca="false">D53+D58</f>
        <v>29744</v>
      </c>
      <c r="E59" s="15" t="n">
        <f aca="false">IFERROR(C59/D59,0)</f>
        <v>0.721960731576116</v>
      </c>
      <c r="F59" s="13" t="n">
        <f aca="false">IFERROR(B59/C59,0)</f>
        <v>7.31011455713887</v>
      </c>
    </row>
    <row r="61" customFormat="false" ht="15" hidden="false" customHeight="false" outlineLevel="0" collapsed="false">
      <c r="A61" s="16" t="s">
        <v>63</v>
      </c>
      <c r="B61" s="16"/>
      <c r="C61" s="16"/>
      <c r="D61" s="16"/>
      <c r="E61" s="16"/>
      <c r="F61" s="16"/>
    </row>
    <row r="62" customFormat="false" ht="15" hidden="false" customHeight="false" outlineLevel="0" collapsed="false">
      <c r="A62" s="16" t="s">
        <v>64</v>
      </c>
      <c r="B62" s="16"/>
      <c r="C62" s="16"/>
      <c r="D62" s="16"/>
      <c r="E62" s="16"/>
      <c r="F62" s="16"/>
    </row>
  </sheetData>
  <mergeCells count="4">
    <mergeCell ref="A1:F1"/>
    <mergeCell ref="A2:F2"/>
    <mergeCell ref="A61:F61"/>
    <mergeCell ref="A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1" t="s">
        <v>65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66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67</v>
      </c>
      <c r="B4" s="3" t="s">
        <v>68</v>
      </c>
      <c r="C4" s="3" t="s">
        <v>3</v>
      </c>
      <c r="D4" s="3" t="s">
        <v>4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69</v>
      </c>
      <c r="B5" s="6" t="n">
        <v>8</v>
      </c>
      <c r="C5" s="5" t="n">
        <v>8390.9</v>
      </c>
      <c r="D5" s="6" t="n">
        <v>3038</v>
      </c>
      <c r="E5" s="7" t="n">
        <f aca="false">IFERROR(D5/4576,0)</f>
        <v>0.663898601398601</v>
      </c>
      <c r="F5" s="5" t="n">
        <f aca="false">IFERROR(C5/D5,0)</f>
        <v>2.76198156682028</v>
      </c>
    </row>
    <row r="6" customFormat="false" ht="15" hidden="false" customHeight="false" outlineLevel="0" collapsed="false">
      <c r="A6" s="4" t="s">
        <v>70</v>
      </c>
      <c r="B6" s="6" t="n">
        <v>9</v>
      </c>
      <c r="C6" s="5" t="n">
        <v>19880.1</v>
      </c>
      <c r="D6" s="6" t="n">
        <v>4500</v>
      </c>
      <c r="E6" s="7" t="n">
        <f aca="false">IFERROR(D6/5148,0)</f>
        <v>0.874125874125874</v>
      </c>
      <c r="F6" s="5" t="n">
        <f aca="false">IFERROR(C6/D6,0)</f>
        <v>4.4178</v>
      </c>
    </row>
    <row r="7" customFormat="false" ht="15" hidden="false" customHeight="false" outlineLevel="0" collapsed="false">
      <c r="A7" s="4" t="s">
        <v>71</v>
      </c>
      <c r="B7" s="6" t="n">
        <v>2</v>
      </c>
      <c r="C7" s="5" t="n">
        <v>2898.4</v>
      </c>
      <c r="D7" s="6" t="n">
        <v>754</v>
      </c>
      <c r="E7" s="7" t="n">
        <f aca="false">IFERROR(D7/1144,0)</f>
        <v>0.659090909090909</v>
      </c>
      <c r="F7" s="5" t="n">
        <f aca="false">IFERROR(C7/D7,0)</f>
        <v>3.84403183023873</v>
      </c>
    </row>
    <row r="8" customFormat="false" ht="15" hidden="false" customHeight="false" outlineLevel="0" collapsed="false">
      <c r="A8" s="4" t="s">
        <v>72</v>
      </c>
      <c r="B8" s="6" t="n">
        <v>1</v>
      </c>
      <c r="C8" s="5" t="n">
        <v>0</v>
      </c>
      <c r="D8" s="6" t="n">
        <v>0</v>
      </c>
      <c r="E8" s="7" t="n">
        <f aca="false">IFERROR(D8/572,0)</f>
        <v>0</v>
      </c>
      <c r="F8" s="5" t="n">
        <f aca="false">IFERROR(C8/D8,0)</f>
        <v>0</v>
      </c>
    </row>
    <row r="9" customFormat="false" ht="15" hidden="false" customHeight="false" outlineLevel="0" collapsed="false">
      <c r="A9" s="4" t="s">
        <v>73</v>
      </c>
      <c r="B9" s="6" t="n">
        <v>8</v>
      </c>
      <c r="C9" s="5" t="n">
        <v>14271</v>
      </c>
      <c r="D9" s="6" t="n">
        <v>3019</v>
      </c>
      <c r="E9" s="7" t="n">
        <f aca="false">IFERROR(D9/4576,0)</f>
        <v>0.659746503496504</v>
      </c>
      <c r="F9" s="5" t="n">
        <f aca="false">IFERROR(C9/D9,0)</f>
        <v>4.72706194104008</v>
      </c>
    </row>
    <row r="10" customFormat="false" ht="15" hidden="false" customHeight="false" outlineLevel="0" collapsed="false">
      <c r="A10" s="4" t="s">
        <v>74</v>
      </c>
      <c r="B10" s="6" t="n">
        <v>11</v>
      </c>
      <c r="C10" s="5" t="n">
        <v>43572</v>
      </c>
      <c r="D10" s="6" t="n">
        <v>5311</v>
      </c>
      <c r="E10" s="7" t="n">
        <f aca="false">IFERROR(D10/6292,0)</f>
        <v>0.844087730451367</v>
      </c>
      <c r="F10" s="5" t="n">
        <f aca="false">IFERROR(C10/D10,0)</f>
        <v>8.2041046883826</v>
      </c>
    </row>
    <row r="11" customFormat="false" ht="15" hidden="false" customHeight="false" outlineLevel="0" collapsed="false">
      <c r="A11" s="4" t="s">
        <v>75</v>
      </c>
      <c r="B11" s="6" t="n">
        <v>6</v>
      </c>
      <c r="C11" s="5" t="n">
        <v>23780.2</v>
      </c>
      <c r="D11" s="6" t="n">
        <v>2348</v>
      </c>
      <c r="E11" s="7" t="n">
        <f aca="false">IFERROR(D11/3432,0)</f>
        <v>0.684149184149184</v>
      </c>
      <c r="F11" s="5" t="n">
        <f aca="false">IFERROR(C11/D11,0)</f>
        <v>10.1278534923339</v>
      </c>
    </row>
    <row r="12" customFormat="false" ht="15" hidden="false" customHeight="false" outlineLevel="0" collapsed="false">
      <c r="A12" s="4" t="s">
        <v>76</v>
      </c>
      <c r="B12" s="6" t="n">
        <v>2</v>
      </c>
      <c r="C12" s="5" t="n">
        <v>16580.9</v>
      </c>
      <c r="D12" s="6" t="n">
        <v>713</v>
      </c>
      <c r="E12" s="7" t="n">
        <f aca="false">IFERROR(D12/1144,0)</f>
        <v>0.623251748251748</v>
      </c>
      <c r="F12" s="5" t="n">
        <f aca="false">IFERROR(C12/D12,0)</f>
        <v>23.2551192145863</v>
      </c>
    </row>
    <row r="13" customFormat="false" ht="15" hidden="false" customHeight="false" outlineLevel="0" collapsed="false">
      <c r="A13" s="4" t="s">
        <v>77</v>
      </c>
      <c r="B13" s="6" t="n">
        <v>1</v>
      </c>
      <c r="C13" s="5" t="n">
        <v>11723.9</v>
      </c>
      <c r="D13" s="6" t="n">
        <v>300</v>
      </c>
      <c r="E13" s="7" t="n">
        <f aca="false">IFERROR(D13/572,0)</f>
        <v>0.524475524475525</v>
      </c>
      <c r="F13" s="5" t="n">
        <f aca="false">IFERROR(C13/D13,0)</f>
        <v>39.0796666666667</v>
      </c>
    </row>
    <row r="14" customFormat="false" ht="15" hidden="false" customHeight="false" outlineLevel="0" collapsed="false">
      <c r="A14" s="12" t="s">
        <v>78</v>
      </c>
      <c r="B14" s="14" t="n">
        <f aca="false">SUM(B5:B13)</f>
        <v>48</v>
      </c>
      <c r="C14" s="13" t="n">
        <f aca="false">SUM(C5:C13)</f>
        <v>141097.4</v>
      </c>
      <c r="D14" s="14" t="n">
        <f aca="false">SUM(D5:D13)</f>
        <v>19983</v>
      </c>
      <c r="E14" s="15" t="n">
        <f aca="false">IFERROR(D14/27456,0)</f>
        <v>0.727819055944056</v>
      </c>
      <c r="F14" s="13" t="n">
        <f aca="false">IFERROR(C14/D14,0)</f>
        <v>7.06087174097983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2026-07-01T07:53:01Z</dcterms:created>
  <dc:creator>openpyxl</dc:creator>
  <dc:description/>
  <dc:language>en-US</dc:language>
  <cp:lastModifiedBy/>
  <dcterms:modified xsi:type="dcterms:W3CDTF">2026-07-01T07:53:02Z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
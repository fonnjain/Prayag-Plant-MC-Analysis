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(A) Pipe M-C Summary" sheetId="2" state="visible" r:id="rId4"/>
    <sheet name="Pipe Type-wise" sheetId="3" state="visible" r:id="rId5"/>
    <sheet name="(B) Moulding M-C Summary" sheetId="4" state="visible" r:id="rId6"/>
    <sheet name="(C) Group of Moulding" sheetId="5" state="visible" r:id="rId7"/>
    <sheet name="(D) Pipe Moulds Summary" sheetId="6" state="visible" r:id="rId8"/>
    <sheet name="Moulding %age Efficiency" sheetId="7" state="visible" r:id="rId9"/>
    <sheet name="Garden Pipe Summary" sheetId="8" state="visible" r:id="rId10"/>
    <sheet name="HDPE Summary" sheetId="9" state="visible" r:id="rId11"/>
    <sheet name="PTMT Moulds Summary" sheetId="10" state="visible" r:id="rId12"/>
    <sheet name="PTMT %age Efficienc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<sst xmlns="http://schemas.openxmlformats.org/spreadsheetml/2006/main" count="282" uniqueCount="201">
  <si>
    <t xml:space="preserve">PRAYAG — MANAGEMENT REPORTS  |  MAY 2026</t>
  </si>
  <si>
    <t xml:space="preserve">Kehrani (KH) plant | All figures recomputed from daily source workbooks | kg unless noted</t>
  </si>
  <si>
    <t xml:space="preserve">Report / Segment</t>
  </si>
  <si>
    <t xml:space="preserve">Output (KG)</t>
  </si>
  <si>
    <t xml:space="preserve">Rejection (KG)</t>
  </si>
  <si>
    <t xml:space="preserve">Basis (daily source)</t>
  </si>
  <si>
    <t xml:space="preserve">Status</t>
  </si>
  <si>
    <t xml:space="preserve">(A) Pipe M/C (extrusion)</t>
  </si>
  <si>
    <t xml:space="preserve">Report-5 + Report-11, date-wise max</t>
  </si>
  <si>
    <t xml:space="preserve">recomputed</t>
  </si>
  <si>
    <t xml:space="preserve">(B) Moulding M/C</t>
  </si>
  <si>
    <t xml:space="preserve">Report-12 (authoritative)</t>
  </si>
  <si>
    <t xml:space="preserve">(C) Group of Moulding</t>
  </si>
  <si>
    <t xml:space="preserve">-</t>
  </si>
  <si>
    <t xml:space="preserve">Report-12 by tonnage group</t>
  </si>
  <si>
    <t xml:space="preserve">(D) Pipe Moulds (of moulding)</t>
  </si>
  <si>
    <t xml:space="preserve">Report-12 mould/item-wise</t>
  </si>
  <si>
    <t xml:space="preserve">Garden Pipe</t>
  </si>
  <si>
    <t xml:space="preserve">Garden workbook (M/C tabs)</t>
  </si>
  <si>
    <t xml:space="preserve">HDPE</t>
  </si>
  <si>
    <t xml:space="preserve">HDPE workbook (M/C tabs)</t>
  </si>
  <si>
    <t xml:space="preserve">recomputed (low volume)</t>
  </si>
  <si>
    <t xml:space="preserve">Extrusion + Moulding streams</t>
  </si>
  <si>
    <t xml:space="preserve">Pipe(A)+Moulding(B)+Garden+HDPE</t>
  </si>
  <si>
    <t xml:space="preserve">Provenance &amp; method</t>
  </si>
  <si>
    <t xml:space="preserve">•  Core principle: every number recomputed from the daily source workbooks; final/summary sheets used only for format &amp; validation.</t>
  </si>
  <si>
    <t xml:space="preserve">•  Pipe (A): date-wise max(Report-5, Report-11) per machine×date — Report-5 was more complete for May (313,516 vs Report-11 274,170); max = 313,637.</t>
  </si>
  <si>
    <t xml:space="preserve">•  Moulding (B): Report-12, validated total 75,771 kg (= workbook stored total; matches R5 moulding block).</t>
  </si>
  <si>
    <t xml:space="preserve">•  (C)/(D): both recomputed from Report-12 — (C) by mould tonnage, (D) by material/item. (D) note: the 17-20 mould tabs in the May file are a stale snapshot and were not used.</t>
  </si>
  <si>
    <t xml:space="preserve">•  Garden 53,235 kg (M/C-1 idle); HDPE 1,369 kg (only M/C-1 ran).</t>
  </si>
  <si>
    <t xml:space="preserve">•  PTMT (separate plant) now included as two sheets, recomputed from its Report-5. Still pending: Compound (skipped), Tank VN/WB, Segment Labour/Solar/Power.</t>
  </si>
  <si>
    <t xml:space="preserve">(A)  PIPE M/C SUMMARY — MAY 2026</t>
  </si>
  <si>
    <t xml:space="preserve">Prayag KH plant | Extrusion | Output &amp; rejection = date-wise max(Report-5, Report-11) at machine×date | Run hours from Report-5 | kg</t>
  </si>
  <si>
    <t xml:space="preserve">Machine</t>
  </si>
  <si>
    <t xml:space="preserve">Run Hours</t>
  </si>
  <si>
    <t xml:space="preserve">Avg Output / Hr</t>
  </si>
  <si>
    <t xml:space="preserve">Rejection %</t>
  </si>
  <si>
    <t xml:space="preserve">PIPE M/C-1</t>
  </si>
  <si>
    <t xml:space="preserve">PIPE M/C-2</t>
  </si>
  <si>
    <t xml:space="preserve">PIPE M/C-3</t>
  </si>
  <si>
    <t xml:space="preserve">PIPE M/C-4</t>
  </si>
  <si>
    <t xml:space="preserve">PIPE M/C-5</t>
  </si>
  <si>
    <t xml:space="preserve">PIPE M/C-6</t>
  </si>
  <si>
    <t xml:space="preserve">PIPE M/C-9</t>
  </si>
  <si>
    <t xml:space="preserve">TOTAL</t>
  </si>
  <si>
    <t xml:space="preserve">Method: at each (machine × date), Output = max(Report-5, Report-11); same for Rejection; summed to month. Run hours are Report-5's monthly figure.</t>
  </si>
  <si>
    <t xml:space="preserve">Coverage: Report-11-alone = 274,170 kg; Report-5-alone = 313,516 kg; date-wise max = 313,637 kg. M/C-7 &amp; M/C-8 idle in May.</t>
  </si>
  <si>
    <t xml:space="preserve">Every figure recomputed from daily source cells; no value copied from the (A) final sheet.</t>
  </si>
  <si>
    <t xml:space="preserve">PIPE PRODUCTION — TYPE-WISE (MAY 2026)</t>
  </si>
  <si>
    <t xml:space="preserve">Type split available only in Report-11; scaled where date-wise-max picked Report-5 (untyped pickup) | kg</t>
  </si>
  <si>
    <t xml:space="preserve">Type</t>
  </si>
  <si>
    <t xml:space="preserve">Share of Typed</t>
  </si>
  <si>
    <t xml:space="preserve">Note</t>
  </si>
  <si>
    <t xml:space="preserve">CPVC</t>
  </si>
  <si>
    <t xml:space="preserve">Report-11 typed</t>
  </si>
  <si>
    <t xml:space="preserve">UPVC</t>
  </si>
  <si>
    <t xml:space="preserve">SWR</t>
  </si>
  <si>
    <t xml:space="preserve">AGRI</t>
  </si>
  <si>
    <t xml:space="preserve">Typed subtotal</t>
  </si>
  <si>
    <t xml:space="preserve">Untyped pickup (R5-only)</t>
  </si>
  <si>
    <t xml:space="preserve">pending Report-11 entry</t>
  </si>
  <si>
    <t xml:space="preserve">TOTAL PIPE (corrected)</t>
  </si>
  <si>
    <t xml:space="preserve">type completeness 87.4%</t>
  </si>
  <si>
    <t xml:space="preserve">(B)  MOULDING M/C SUMMARY — MAY 2026</t>
  </si>
  <si>
    <t xml:space="preserve">Prayag KH plant | Injection moulding | Recomputed from Report-12 (authoritative; R5=R12) | kg</t>
  </si>
  <si>
    <t xml:space="preserve">A01(NU-200)</t>
  </si>
  <si>
    <t xml:space="preserve">A02(U-150)</t>
  </si>
  <si>
    <t xml:space="preserve">A03(U-150)</t>
  </si>
  <si>
    <t xml:space="preserve">A04(NU-150)</t>
  </si>
  <si>
    <t xml:space="preserve">A05(U-150)</t>
  </si>
  <si>
    <t xml:space="preserve">A06(C-150)</t>
  </si>
  <si>
    <t xml:space="preserve">B01(C-275)</t>
  </si>
  <si>
    <t xml:space="preserve">B02(C-200)</t>
  </si>
  <si>
    <t xml:space="preserve">B03(C-200)</t>
  </si>
  <si>
    <t xml:space="preserve">B04(C-200)</t>
  </si>
  <si>
    <t xml:space="preserve">B05(C-150)</t>
  </si>
  <si>
    <t xml:space="preserve">B06(NU-200)</t>
  </si>
  <si>
    <t xml:space="preserve">C01(U-250)</t>
  </si>
  <si>
    <t xml:space="preserve">C02(U-250)</t>
  </si>
  <si>
    <t xml:space="preserve">C04(U-250)</t>
  </si>
  <si>
    <t xml:space="preserve">C05(U-250)</t>
  </si>
  <si>
    <t xml:space="preserve">C06(U-250)</t>
  </si>
  <si>
    <t xml:space="preserve">C07(U-250)</t>
  </si>
  <si>
    <t xml:space="preserve">D01(U-450)</t>
  </si>
  <si>
    <t xml:space="preserve">D02(U-350)</t>
  </si>
  <si>
    <t xml:space="preserve">D03(U-250)</t>
  </si>
  <si>
    <t xml:space="preserve">D05(U-200)</t>
  </si>
  <si>
    <t xml:space="preserve">D06(U-250)</t>
  </si>
  <si>
    <t xml:space="preserve">D07(U-250)</t>
  </si>
  <si>
    <t xml:space="preserve">(C)  GROUP OF MOULDING M/C — MAY 2026</t>
  </si>
  <si>
    <t xml:space="preserve">Report-12 grouped by mould tonnage (clamp size) | kg</t>
  </si>
  <si>
    <t xml:space="preserve">Tonnage Group</t>
  </si>
  <si>
    <t xml:space="preserve">Share of Output</t>
  </si>
  <si>
    <t xml:space="preserve">150 Ton</t>
  </si>
  <si>
    <t xml:space="preserve">200 Ton</t>
  </si>
  <si>
    <t xml:space="preserve">250 Ton</t>
  </si>
  <si>
    <t xml:space="preserve">275 Ton</t>
  </si>
  <si>
    <t xml:space="preserve">350 Ton</t>
  </si>
  <si>
    <t xml:space="preserve">450 Ton</t>
  </si>
  <si>
    <t xml:space="preserve">(D)  PIPE MOULDS SUMMARY — MAY 2026</t>
  </si>
  <si>
    <t xml:space="preserve">Mould/item-wise, recomputed from Report-12 (the mould reports 17-20 in the May workbook are a stale June snapshot — NOT used) | kg</t>
  </si>
  <si>
    <t xml:space="preserve">Material</t>
  </si>
  <si>
    <t xml:space="preserve">Moulds / Items</t>
  </si>
  <si>
    <t xml:space="preserve">Production (Pcs)</t>
  </si>
  <si>
    <t xml:space="preserve">Production (KG)</t>
  </si>
  <si>
    <t xml:space="preserve">Share of KG</t>
  </si>
  <si>
    <t xml:space="preserve">Non-pipe (PP/PPR/ABS/TEFLON)</t>
  </si>
  <si>
    <t xml:space="preserve">TOTAL MOULDING</t>
  </si>
  <si>
    <t xml:space="preserve">The pipe-mould total (CPVC+UPVC+SWR+AGRI) + non-pipe residual = Report-12 month total (75,771 kg) — full reconciliation.</t>
  </si>
  <si>
    <t xml:space="preserve">Grain = item code within material (Report-12's own basis for the mould working report). Per-physical-mould detail needs the mould master; the 17-20 tabs could not be used (stale).</t>
  </si>
  <si>
    <t xml:space="preserve">MOULDING %AGE IN EFFICIENCY — MAY 2026</t>
  </si>
  <si>
    <t xml:space="preserve">Per-machine productivity from Report-12 | Utilisation vs 500 hr/month ideal | kg</t>
  </si>
  <si>
    <t xml:space="preserve">M/C Utilisation %</t>
  </si>
  <si>
    <t xml:space="preserve">TOTAL / AVG</t>
  </si>
  <si>
    <t xml:space="preserve">GARDEN PIPE M/C SUMMARY — MAY 2026</t>
  </si>
  <si>
    <t xml:space="preserve">Garden Pipe workbook, per-machine tabs | Output = TOTAL KG col | kg</t>
  </si>
  <si>
    <t xml:space="preserve">Length (Mtr)</t>
  </si>
  <si>
    <t xml:space="preserve">Garden M/C-1</t>
  </si>
  <si>
    <t xml:space="preserve">Garden M/C-2</t>
  </si>
  <si>
    <t xml:space="preserve">Garden M/C-3</t>
  </si>
  <si>
    <t xml:space="preserve">Garden M/C-4</t>
  </si>
  <si>
    <t xml:space="preserve">Garden M/C-1 idle in May. No explicit rejection column in the Garden source.</t>
  </si>
  <si>
    <t xml:space="preserve">HDPE M/C SUMMARY — MAY 2026</t>
  </si>
  <si>
    <t xml:space="preserve">HDPE workbook, per-machine tabs | Output col = TOTAL KG, rejection col | kg</t>
  </si>
  <si>
    <t xml:space="preserve">DANA MC</t>
  </si>
  <si>
    <t xml:space="preserve">MACHINE 1</t>
  </si>
  <si>
    <t xml:space="preserve">MACHINE 2</t>
  </si>
  <si>
    <t xml:space="preserve">MACHINE 3</t>
  </si>
  <si>
    <t xml:space="preserve">MACHINE 4</t>
  </si>
  <si>
    <t xml:space="preserve">MACHINE 5</t>
  </si>
  <si>
    <t xml:space="preserve">MACHINE 6</t>
  </si>
  <si>
    <t xml:space="preserve">Only HDPE M/C-1 ran in May; other machines &amp; DANA MC idle. Source roll-up tab read zero (not refreshed) — recomputed from per-machine tabs.</t>
  </si>
  <si>
    <t xml:space="preserve">PTMT MOULDS SUMMARY — MAY 2026</t>
  </si>
  <si>
    <t xml:space="preserve">PTMT plant | Recomputed from Report-5 (moulding M/C daily: output kg, run &amp; ideal hours) | kg</t>
  </si>
  <si>
    <t xml:space="preserve">Ideal Hours</t>
  </si>
  <si>
    <t xml:space="preserve">Utilisation %</t>
  </si>
  <si>
    <t xml:space="preserve">80-1</t>
  </si>
  <si>
    <t xml:space="preserve">80-2</t>
  </si>
  <si>
    <t xml:space="preserve">80-3</t>
  </si>
  <si>
    <t xml:space="preserve">80-4</t>
  </si>
  <si>
    <t xml:space="preserve">80-5</t>
  </si>
  <si>
    <t xml:space="preserve">80-6</t>
  </si>
  <si>
    <t xml:space="preserve">110-1</t>
  </si>
  <si>
    <t xml:space="preserve">110-2</t>
  </si>
  <si>
    <t xml:space="preserve">110-3</t>
  </si>
  <si>
    <t xml:space="preserve">125-1</t>
  </si>
  <si>
    <t xml:space="preserve">125-2</t>
  </si>
  <si>
    <t xml:space="preserve">150-1</t>
  </si>
  <si>
    <t xml:space="preserve">150-2</t>
  </si>
  <si>
    <t xml:space="preserve">150-3</t>
  </si>
  <si>
    <t xml:space="preserve">150-4</t>
  </si>
  <si>
    <t xml:space="preserve">150-5</t>
  </si>
  <si>
    <t xml:space="preserve">150-6</t>
  </si>
  <si>
    <t xml:space="preserve">150-7</t>
  </si>
  <si>
    <t xml:space="preserve">150-8</t>
  </si>
  <si>
    <t xml:space="preserve">200-2</t>
  </si>
  <si>
    <t xml:space="preserve">200-3</t>
  </si>
  <si>
    <t xml:space="preserve">250-1</t>
  </si>
  <si>
    <t xml:space="preserve">250-2</t>
  </si>
  <si>
    <t xml:space="preserve">250-3</t>
  </si>
  <si>
    <t xml:space="preserve">250-4</t>
  </si>
  <si>
    <t xml:space="preserve">250-5</t>
  </si>
  <si>
    <t xml:space="preserve">250-6</t>
  </si>
  <si>
    <t xml:space="preserve">350-1</t>
  </si>
  <si>
    <t xml:space="preserve">350-2</t>
  </si>
  <si>
    <t xml:space="preserve">130-TON</t>
  </si>
  <si>
    <t xml:space="preserve">450-1</t>
  </si>
  <si>
    <t xml:space="preserve">N-80A</t>
  </si>
  <si>
    <t xml:space="preserve">N-80B</t>
  </si>
  <si>
    <t xml:space="preserve">N-110A</t>
  </si>
  <si>
    <t xml:space="preserve">N-110B</t>
  </si>
  <si>
    <t xml:space="preserve">N-110C</t>
  </si>
  <si>
    <t xml:space="preserve">N-110D</t>
  </si>
  <si>
    <t xml:space="preserve">N-110E</t>
  </si>
  <si>
    <t xml:space="preserve">N-110F</t>
  </si>
  <si>
    <t xml:space="preserve">N-200A</t>
  </si>
  <si>
    <t xml:space="preserve">N-200B</t>
  </si>
  <si>
    <t xml:space="preserve">N-200C</t>
  </si>
  <si>
    <t xml:space="preserve">N-200D</t>
  </si>
  <si>
    <t xml:space="preserve">N-200E</t>
  </si>
  <si>
    <t xml:space="preserve">N-200F</t>
  </si>
  <si>
    <t xml:space="preserve">N-200G</t>
  </si>
  <si>
    <t xml:space="preserve">N-200H</t>
  </si>
  <si>
    <t xml:space="preserve">N-200I</t>
  </si>
  <si>
    <t xml:space="preserve">Injection moulding subtotal</t>
  </si>
  <si>
    <t xml:space="preserve">Corrugater</t>
  </si>
  <si>
    <t xml:space="preserve">Blow Moulding-1</t>
  </si>
  <si>
    <t xml:space="preserve">Blow Moulding-2</t>
  </si>
  <si>
    <t xml:space="preserve">Blow Moulding-3</t>
  </si>
  <si>
    <t xml:space="preserve">Corrugator + Blow moulding subtotal</t>
  </si>
  <si>
    <t xml:space="preserve">GRAND TOTAL (all processes)</t>
  </si>
  <si>
    <t xml:space="preserve">Injection-moulding subtotal (101,580 kg) reconciles to the workbook's stored moulding total. Corrugator + Blow moulding are separate processes, shown apart.</t>
  </si>
  <si>
    <t xml:space="preserve">Note: the source's stored TOTAL row mixes run-hours (incl. corrugator/blow) with kg (excl. them); recomputed per-machine figures resolve that. PTMT output is tracked in kg (pcs not in this source). Grinders excluded (material recovery).</t>
  </si>
  <si>
    <t xml:space="preserve">PTMT MOULDING %AGE IN EFFICIENCY — MAY 2026</t>
  </si>
  <si>
    <t xml:space="preserve">Injection moulding grouped by mould tonnage | Utilisation = run/ideal hours | from Report-5</t>
  </si>
  <si>
    <t xml:space="preserve">Machines</t>
  </si>
  <si>
    <t xml:space="preserve">80 Ton</t>
  </si>
  <si>
    <t xml:space="preserve">110 Ton</t>
  </si>
  <si>
    <t xml:space="preserve">125 Ton</t>
  </si>
  <si>
    <t xml:space="preserve">130 Ton</t>
  </si>
  <si>
    <t xml:space="preserve">INJECTION 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</si>
</sst>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#,##0;\(#,##0\);\-"/>
    <numFmt numFmtId="167" formatCode="0.0%"/>
    <numFmt numFmtId="168" formatCode="#,##0.0;\(#,##0.0\);\-"/>
    <numFmt numFmtId="169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8"/>
      <color rgb="FF606060"/>
      <name val="Arial"/>
      <family val="0"/>
      <charset val="1"/>
    </font>
    <font>
      <i val="true"/>
      <sz val="9"/>
      <color rgb="FF60606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D9D9"/>
        <bgColor rgb="FFFCE4D6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34"/>
    <col collapsed="false" customWidth="true" hidden="false" outlineLevel="0" max="5" min="5" style="1" width="2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6" t="n">
        <v>313637</v>
      </c>
      <c r="C5" s="6" t="n">
        <v>30484</v>
      </c>
      <c r="D5" s="7" t="s">
        <v>8</v>
      </c>
      <c r="E5" s="8" t="s">
        <v>9</v>
      </c>
    </row>
    <row r="6" customFormat="false" ht="15" hidden="false" customHeight="true" outlineLevel="0" collapsed="false">
      <c r="A6" s="5" t="s">
        <v>10</v>
      </c>
      <c r="B6" s="6" t="n">
        <v>75771.2</v>
      </c>
      <c r="C6" s="6" t="n">
        <v>752.24</v>
      </c>
      <c r="D6" s="7" t="s">
        <v>11</v>
      </c>
      <c r="E6" s="8" t="s">
        <v>9</v>
      </c>
    </row>
    <row r="7" customFormat="false" ht="15" hidden="false" customHeight="true" outlineLevel="0" collapsed="false">
      <c r="A7" s="5" t="s">
        <v>12</v>
      </c>
      <c r="B7" s="6" t="n">
        <v>75771.2</v>
      </c>
      <c r="C7" s="6" t="s">
        <v>13</v>
      </c>
      <c r="D7" s="7" t="s">
        <v>14</v>
      </c>
      <c r="E7" s="8" t="s">
        <v>9</v>
      </c>
    </row>
    <row r="8" customFormat="false" ht="15" hidden="false" customHeight="true" outlineLevel="0" collapsed="false">
      <c r="A8" s="5" t="s">
        <v>15</v>
      </c>
      <c r="B8" s="6" t="n">
        <v>73758.8</v>
      </c>
      <c r="C8" s="6" t="s">
        <v>13</v>
      </c>
      <c r="D8" s="7" t="s">
        <v>16</v>
      </c>
      <c r="E8" s="8" t="s">
        <v>9</v>
      </c>
    </row>
    <row r="9" customFormat="false" ht="15" hidden="false" customHeight="true" outlineLevel="0" collapsed="false">
      <c r="A9" s="5" t="s">
        <v>17</v>
      </c>
      <c r="B9" s="6" t="n">
        <v>53234.5</v>
      </c>
      <c r="C9" s="6" t="s">
        <v>13</v>
      </c>
      <c r="D9" s="7" t="s">
        <v>18</v>
      </c>
      <c r="E9" s="8" t="s">
        <v>9</v>
      </c>
    </row>
    <row r="10" customFormat="false" ht="15" hidden="false" customHeight="true" outlineLevel="0" collapsed="false">
      <c r="A10" s="5" t="s">
        <v>19</v>
      </c>
      <c r="B10" s="6" t="n">
        <v>1369.2</v>
      </c>
      <c r="C10" s="6" t="n">
        <v>0</v>
      </c>
      <c r="D10" s="7" t="s">
        <v>20</v>
      </c>
      <c r="E10" s="8" t="s">
        <v>21</v>
      </c>
    </row>
    <row r="11" customFormat="false" ht="15" hidden="false" customHeight="true" outlineLevel="0" collapsed="false">
      <c r="A11" s="9" t="s">
        <v>22</v>
      </c>
      <c r="B11" s="10" t="n">
        <f aca="false">B5+B6+B9+B10</f>
        <v>444011.9</v>
      </c>
      <c r="C11" s="11"/>
      <c r="D11" s="12" t="s">
        <v>23</v>
      </c>
      <c r="E11" s="13"/>
    </row>
    <row r="13" customFormat="false" ht="15" hidden="false" customHeight="true" outlineLevel="0" collapsed="false">
      <c r="A13" s="14" t="s">
        <v>24</v>
      </c>
      <c r="B13" s="14"/>
      <c r="C13" s="14"/>
      <c r="D13" s="14"/>
      <c r="E13" s="14"/>
    </row>
    <row r="14" customFormat="false" ht="15" hidden="false" customHeight="true" outlineLevel="0" collapsed="false">
      <c r="A14" s="15" t="s">
        <v>25</v>
      </c>
      <c r="B14" s="15"/>
      <c r="C14" s="15"/>
      <c r="D14" s="15"/>
      <c r="E14" s="15"/>
    </row>
    <row r="15" customFormat="false" ht="21.75" hidden="false" customHeight="true" outlineLevel="0" collapsed="false">
      <c r="A15" s="15" t="s">
        <v>26</v>
      </c>
      <c r="B15" s="15"/>
      <c r="C15" s="15"/>
      <c r="D15" s="15"/>
      <c r="E15" s="15"/>
    </row>
    <row r="16" customFormat="false" ht="15" hidden="false" customHeight="true" outlineLevel="0" collapsed="false">
      <c r="A16" s="15" t="s">
        <v>27</v>
      </c>
      <c r="B16" s="15"/>
      <c r="C16" s="15"/>
      <c r="D16" s="15"/>
      <c r="E16" s="15"/>
    </row>
    <row r="17" customFormat="false" ht="21.75" hidden="false" customHeight="true" outlineLevel="0" collapsed="false">
      <c r="A17" s="15" t="s">
        <v>28</v>
      </c>
      <c r="B17" s="15"/>
      <c r="C17" s="15"/>
      <c r="D17" s="15"/>
      <c r="E17" s="15"/>
    </row>
    <row r="18" customFormat="false" ht="15" hidden="false" customHeight="true" outlineLevel="0" collapsed="false">
      <c r="A18" s="15" t="s">
        <v>29</v>
      </c>
      <c r="B18" s="15"/>
      <c r="C18" s="15"/>
      <c r="D18" s="15"/>
      <c r="E18" s="15"/>
    </row>
    <row r="19" customFormat="false" ht="21.75" hidden="false" customHeight="true" outlineLevel="0" collapsed="false">
      <c r="A19" s="15" t="s">
        <v>30</v>
      </c>
      <c r="B19" s="15"/>
      <c r="C19" s="15"/>
      <c r="D19" s="15"/>
      <c r="E19" s="15"/>
    </row>
  </sheetData>
  <mergeCells count="9">
    <mergeCell ref="A1:E1"/>
    <mergeCell ref="A2:E2"/>
    <mergeCell ref="A13:E13"/>
    <mergeCell ref="A14:E14"/>
    <mergeCell ref="A15:E15"/>
    <mergeCell ref="A16:E16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5"/>
    <col collapsed="false" customWidth="true" hidden="false" outlineLevel="0" max="6" min="6" style="1" width="12"/>
  </cols>
  <sheetData>
    <row r="1" customFormat="false" ht="21.75" hidden="false" customHeight="true" outlineLevel="0" collapsed="false">
      <c r="A1" s="2" t="s">
        <v>31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32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4" t="s">
        <v>33</v>
      </c>
      <c r="B4" s="4" t="s">
        <v>34</v>
      </c>
      <c r="C4" s="4" t="s">
        <v>3</v>
      </c>
      <c r="D4" s="4" t="s">
        <v>4</v>
      </c>
      <c r="E4" s="4" t="s">
        <v>35</v>
      </c>
      <c r="F4" s="4" t="s">
        <v>36</v>
      </c>
    </row>
    <row r="5" customFormat="false" ht="15" hidden="false" customHeight="true" outlineLevel="0" collapsed="false">
      <c r="A5" s="5" t="s">
        <v>37</v>
      </c>
      <c r="B5" s="16" t="n">
        <v>228</v>
      </c>
      <c r="C5" s="6" t="n">
        <v>20150</v>
      </c>
      <c r="D5" s="6" t="n">
        <v>2526</v>
      </c>
      <c r="E5" s="6" t="n">
        <f aca="false">IFERROR(C5/B5,0)</f>
        <v>88.3771929824561</v>
      </c>
      <c r="F5" s="17" t="n">
        <f aca="false">IFERROR(D5/C5,0)</f>
        <v>0.125359801488834</v>
      </c>
    </row>
    <row r="6" customFormat="false" ht="15" hidden="false" customHeight="true" outlineLevel="0" collapsed="false">
      <c r="A6" s="5" t="s">
        <v>38</v>
      </c>
      <c r="B6" s="16" t="n">
        <v>219</v>
      </c>
      <c r="C6" s="6" t="n">
        <v>27279</v>
      </c>
      <c r="D6" s="6" t="n">
        <v>4008</v>
      </c>
      <c r="E6" s="6" t="n">
        <f aca="false">IFERROR(C6/B6,0)</f>
        <v>124.561643835616</v>
      </c>
      <c r="F6" s="17" t="n">
        <f aca="false">IFERROR(D6/C6,0)</f>
        <v>0.146926206972396</v>
      </c>
    </row>
    <row r="7" customFormat="false" ht="15" hidden="false" customHeight="true" outlineLevel="0" collapsed="false">
      <c r="A7" s="5" t="s">
        <v>39</v>
      </c>
      <c r="B7" s="16" t="n">
        <v>236</v>
      </c>
      <c r="C7" s="6" t="n">
        <v>37413</v>
      </c>
      <c r="D7" s="6" t="n">
        <v>6248</v>
      </c>
      <c r="E7" s="6" t="n">
        <f aca="false">IFERROR(C7/B7,0)</f>
        <v>158.529661016949</v>
      </c>
      <c r="F7" s="17" t="n">
        <f aca="false">IFERROR(D7/C7,0)</f>
        <v>0.167000775131639</v>
      </c>
    </row>
    <row r="8" customFormat="false" ht="15" hidden="false" customHeight="true" outlineLevel="0" collapsed="false">
      <c r="A8" s="5" t="s">
        <v>40</v>
      </c>
      <c r="B8" s="16" t="n">
        <v>471</v>
      </c>
      <c r="C8" s="6" t="n">
        <v>110556</v>
      </c>
      <c r="D8" s="6" t="n">
        <v>7940</v>
      </c>
      <c r="E8" s="6" t="n">
        <f aca="false">IFERROR(C8/B8,0)</f>
        <v>234.726114649682</v>
      </c>
      <c r="F8" s="17" t="n">
        <f aca="false">IFERROR(D8/C8,0)</f>
        <v>0.0718188067585658</v>
      </c>
    </row>
    <row r="9" customFormat="false" ht="15" hidden="false" customHeight="true" outlineLevel="0" collapsed="false">
      <c r="A9" s="5" t="s">
        <v>41</v>
      </c>
      <c r="B9" s="16" t="n">
        <v>257</v>
      </c>
      <c r="C9" s="6" t="n">
        <v>40306</v>
      </c>
      <c r="D9" s="6" t="n">
        <v>4355</v>
      </c>
      <c r="E9" s="6" t="n">
        <f aca="false">IFERROR(C9/B9,0)</f>
        <v>156.832684824903</v>
      </c>
      <c r="F9" s="17" t="n">
        <f aca="false">IFERROR(D9/C9,0)</f>
        <v>0.108048429514216</v>
      </c>
    </row>
    <row r="10" customFormat="false" ht="15" hidden="false" customHeight="true" outlineLevel="0" collapsed="false">
      <c r="A10" s="5" t="s">
        <v>42</v>
      </c>
      <c r="B10" s="16" t="n">
        <v>357</v>
      </c>
      <c r="C10" s="6" t="n">
        <v>59437</v>
      </c>
      <c r="D10" s="6" t="n">
        <v>3657</v>
      </c>
      <c r="E10" s="6" t="n">
        <f aca="false">IFERROR(C10/B10,0)</f>
        <v>166.490196078431</v>
      </c>
      <c r="F10" s="17" t="n">
        <f aca="false">IFERROR(D10/C10,0)</f>
        <v>0.0615273314602016</v>
      </c>
    </row>
    <row r="11" customFormat="false" ht="15" hidden="false" customHeight="true" outlineLevel="0" collapsed="false">
      <c r="A11" s="5" t="s">
        <v>43</v>
      </c>
      <c r="B11" s="16" t="n">
        <v>64</v>
      </c>
      <c r="C11" s="6" t="n">
        <v>18496</v>
      </c>
      <c r="D11" s="6" t="n">
        <v>1750</v>
      </c>
      <c r="E11" s="6" t="n">
        <f aca="false">IFERROR(C11/B11,0)</f>
        <v>289</v>
      </c>
      <c r="F11" s="17" t="n">
        <f aca="false">IFERROR(D11/C11,0)</f>
        <v>0.0946150519031142</v>
      </c>
    </row>
    <row r="12" customFormat="false" ht="15" hidden="false" customHeight="true" outlineLevel="0" collapsed="false">
      <c r="A12" s="9" t="s">
        <v>44</v>
      </c>
      <c r="B12" s="18" t="n">
        <f aca="false">SUM(B5:B11)</f>
        <v>1832</v>
      </c>
      <c r="C12" s="10" t="n">
        <f aca="false">SUM(C5:C11)</f>
        <v>313637</v>
      </c>
      <c r="D12" s="10" t="n">
        <f aca="false">SUM(D5:D11)</f>
        <v>30484</v>
      </c>
      <c r="E12" s="10" t="n">
        <f aca="false">IFERROR(C12/B12,0)</f>
        <v>171.19923580786</v>
      </c>
      <c r="F12" s="19" t="n">
        <f aca="false">IFERROR(D12/C12,0)</f>
        <v>0.0971951651112592</v>
      </c>
    </row>
    <row r="14" customFormat="false" ht="15" hidden="false" customHeight="true" outlineLevel="0" collapsed="false">
      <c r="A14" s="20" t="s">
        <v>45</v>
      </c>
      <c r="B14" s="20"/>
      <c r="C14" s="20"/>
      <c r="D14" s="20"/>
      <c r="E14" s="20"/>
      <c r="F14" s="20"/>
    </row>
    <row r="15" customFormat="false" ht="15" hidden="false" customHeight="true" outlineLevel="0" collapsed="false">
      <c r="A15" s="20" t="s">
        <v>46</v>
      </c>
      <c r="B15" s="20"/>
      <c r="C15" s="20"/>
      <c r="D15" s="20"/>
      <c r="E15" s="20"/>
      <c r="F15" s="20"/>
    </row>
    <row r="16" customFormat="false" ht="15" hidden="false" customHeight="true" outlineLevel="0" collapsed="false">
      <c r="A16" s="20" t="s">
        <v>47</v>
      </c>
      <c r="B16" s="20"/>
      <c r="C16" s="20"/>
      <c r="D16" s="20"/>
      <c r="E16" s="20"/>
      <c r="F16" s="20"/>
    </row>
  </sheetData>
  <mergeCells count="5">
    <mergeCell ref="A1:F1"/>
    <mergeCell ref="A2:F2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4"/>
    <col collapsed="false" customWidth="true" hidden="false" outlineLevel="0" max="4" min="4" style="1" width="26"/>
  </cols>
  <sheetData>
    <row r="1" customFormat="false" ht="21.75" hidden="false" customHeight="true" outlineLevel="0" collapsed="false">
      <c r="A1" s="2" t="s">
        <v>48</v>
      </c>
      <c r="B1" s="2"/>
      <c r="C1" s="2"/>
      <c r="D1" s="2"/>
    </row>
    <row r="2" customFormat="false" ht="15" hidden="false" customHeight="true" outlineLevel="0" collapsed="false">
      <c r="A2" s="3" t="s">
        <v>49</v>
      </c>
      <c r="B2" s="3"/>
      <c r="C2" s="3"/>
      <c r="D2" s="3"/>
    </row>
    <row r="4" customFormat="false" ht="27.75" hidden="false" customHeight="true" outlineLevel="0" collapsed="false">
      <c r="A4" s="4" t="s">
        <v>50</v>
      </c>
      <c r="B4" s="4" t="s">
        <v>3</v>
      </c>
      <c r="C4" s="4" t="s">
        <v>51</v>
      </c>
      <c r="D4" s="4" t="s">
        <v>52</v>
      </c>
    </row>
    <row r="5" customFormat="false" ht="15" hidden="false" customHeight="true" outlineLevel="0" collapsed="false">
      <c r="A5" s="5" t="s">
        <v>53</v>
      </c>
      <c r="B5" s="6" t="n">
        <v>43392</v>
      </c>
      <c r="C5" s="17" t="n">
        <f aca="false">IFERROR(B5/$B$9,0)</f>
        <v>0.158266768793085</v>
      </c>
      <c r="D5" s="21" t="s">
        <v>54</v>
      </c>
    </row>
    <row r="6" customFormat="false" ht="15" hidden="false" customHeight="true" outlineLevel="0" collapsed="false">
      <c r="A6" s="5" t="s">
        <v>55</v>
      </c>
      <c r="B6" s="6" t="n">
        <v>72729</v>
      </c>
      <c r="C6" s="17" t="n">
        <f aca="false">IFERROR(B6/$B$9,0)</f>
        <v>0.26526972316446</v>
      </c>
      <c r="D6" s="21" t="s">
        <v>54</v>
      </c>
    </row>
    <row r="7" customFormat="false" ht="15" hidden="false" customHeight="true" outlineLevel="0" collapsed="false">
      <c r="A7" s="5" t="s">
        <v>56</v>
      </c>
      <c r="B7" s="6" t="n">
        <v>105655</v>
      </c>
      <c r="C7" s="17" t="n">
        <f aca="false">IFERROR(B7/$B$9,0)</f>
        <v>0.385363095889412</v>
      </c>
      <c r="D7" s="21" t="s">
        <v>54</v>
      </c>
    </row>
    <row r="8" customFormat="false" ht="15" hidden="false" customHeight="true" outlineLevel="0" collapsed="false">
      <c r="A8" s="5" t="s">
        <v>57</v>
      </c>
      <c r="B8" s="6" t="n">
        <v>52394</v>
      </c>
      <c r="C8" s="17" t="n">
        <f aca="false">IFERROR(B8/$B$9,0)</f>
        <v>0.191100412153044</v>
      </c>
      <c r="D8" s="21" t="s">
        <v>54</v>
      </c>
    </row>
    <row r="9" customFormat="false" ht="15" hidden="false" customHeight="true" outlineLevel="0" collapsed="false">
      <c r="A9" s="9" t="s">
        <v>58</v>
      </c>
      <c r="B9" s="22" t="n">
        <f aca="false">SUM(B5:B8)</f>
        <v>274170</v>
      </c>
      <c r="C9" s="17" t="n">
        <v>1</v>
      </c>
      <c r="D9" s="23"/>
    </row>
    <row r="10" customFormat="false" ht="15" hidden="false" customHeight="true" outlineLevel="0" collapsed="false">
      <c r="A10" s="5" t="s">
        <v>59</v>
      </c>
      <c r="B10" s="6" t="n">
        <v>39467</v>
      </c>
      <c r="C10" s="24"/>
      <c r="D10" s="21" t="s">
        <v>60</v>
      </c>
    </row>
    <row r="11" customFormat="false" ht="15" hidden="false" customHeight="true" outlineLevel="0" collapsed="false">
      <c r="A11" s="9" t="s">
        <v>61</v>
      </c>
      <c r="B11" s="10" t="n">
        <f aca="false">B9+B10</f>
        <v>313637</v>
      </c>
      <c r="C11" s="25"/>
      <c r="D11" s="26" t="s">
        <v>62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12"/>
  </cols>
  <sheetData>
    <row r="1" customFormat="false" ht="21.75" hidden="false" customHeight="true" outlineLevel="0" collapsed="false">
      <c r="A1" s="2" t="s">
        <v>63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64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4" t="s">
        <v>33</v>
      </c>
      <c r="B4" s="4" t="s">
        <v>3</v>
      </c>
      <c r="C4" s="4" t="s">
        <v>4</v>
      </c>
      <c r="D4" s="4" t="s">
        <v>34</v>
      </c>
      <c r="E4" s="4" t="s">
        <v>35</v>
      </c>
      <c r="F4" s="4" t="s">
        <v>36</v>
      </c>
    </row>
    <row r="5" customFormat="false" ht="15" hidden="false" customHeight="true" outlineLevel="0" collapsed="false">
      <c r="A5" s="5" t="s">
        <v>65</v>
      </c>
      <c r="B5" s="6" t="n">
        <v>392.3</v>
      </c>
      <c r="C5" s="6" t="n">
        <v>3.73</v>
      </c>
      <c r="D5" s="16" t="n">
        <v>65</v>
      </c>
      <c r="E5" s="6" t="n">
        <f aca="false">IFERROR(B5/D5,0)</f>
        <v>6.03538461538462</v>
      </c>
      <c r="F5" s="17" t="n">
        <f aca="false">IFERROR(C5/B5,0)</f>
        <v>0.00950802956920724</v>
      </c>
    </row>
    <row r="6" customFormat="false" ht="15" hidden="false" customHeight="true" outlineLevel="0" collapsed="false">
      <c r="A6" s="5" t="s">
        <v>66</v>
      </c>
      <c r="B6" s="6" t="n">
        <v>2948.4</v>
      </c>
      <c r="C6" s="6" t="n">
        <v>28.7</v>
      </c>
      <c r="D6" s="16" t="n">
        <v>408</v>
      </c>
      <c r="E6" s="6" t="n">
        <f aca="false">IFERROR(B6/D6,0)</f>
        <v>7.22647058823529</v>
      </c>
      <c r="F6" s="17" t="n">
        <f aca="false">IFERROR(C6/B6,0)</f>
        <v>0.0097340930674264</v>
      </c>
    </row>
    <row r="7" customFormat="false" ht="15" hidden="false" customHeight="true" outlineLevel="0" collapsed="false">
      <c r="A7" s="5" t="s">
        <v>67</v>
      </c>
      <c r="B7" s="6" t="n">
        <v>2444.2</v>
      </c>
      <c r="C7" s="6" t="n">
        <v>23.53</v>
      </c>
      <c r="D7" s="16" t="n">
        <v>380</v>
      </c>
      <c r="E7" s="6" t="n">
        <f aca="false">IFERROR(B7/D7,0)</f>
        <v>6.43210526315789</v>
      </c>
      <c r="F7" s="17" t="n">
        <f aca="false">IFERROR(C7/B7,0)</f>
        <v>0.0096268717780869</v>
      </c>
    </row>
    <row r="8" customFormat="false" ht="15" hidden="false" customHeight="true" outlineLevel="0" collapsed="false">
      <c r="A8" s="5" t="s">
        <v>68</v>
      </c>
      <c r="B8" s="6" t="n">
        <v>147.3</v>
      </c>
      <c r="C8" s="6" t="n">
        <v>1.31</v>
      </c>
      <c r="D8" s="16" t="n">
        <v>112</v>
      </c>
      <c r="E8" s="6" t="n">
        <f aca="false">IFERROR(B8/D8,0)</f>
        <v>1.31517857142857</v>
      </c>
      <c r="F8" s="17" t="n">
        <f aca="false">IFERROR(C8/B8,0)</f>
        <v>0.00889341479972845</v>
      </c>
    </row>
    <row r="9" customFormat="false" ht="15" hidden="false" customHeight="true" outlineLevel="0" collapsed="false">
      <c r="A9" s="5" t="s">
        <v>69</v>
      </c>
      <c r="B9" s="6" t="n">
        <v>1113.7</v>
      </c>
      <c r="C9" s="6" t="n">
        <v>11.11</v>
      </c>
      <c r="D9" s="16" t="n">
        <v>221</v>
      </c>
      <c r="E9" s="6" t="n">
        <f aca="false">IFERROR(B9/D9,0)</f>
        <v>5.0393665158371</v>
      </c>
      <c r="F9" s="17" t="n">
        <f aca="false">IFERROR(C9/B9,0)</f>
        <v>0.00997575648738439</v>
      </c>
    </row>
    <row r="10" customFormat="false" ht="15" hidden="false" customHeight="true" outlineLevel="0" collapsed="false">
      <c r="A10" s="5" t="s">
        <v>70</v>
      </c>
      <c r="B10" s="6" t="n">
        <v>2239.7</v>
      </c>
      <c r="C10" s="6" t="n">
        <v>19.81</v>
      </c>
      <c r="D10" s="16" t="n">
        <v>407</v>
      </c>
      <c r="E10" s="6" t="n">
        <f aca="false">IFERROR(B10/D10,0)</f>
        <v>5.5029484029484</v>
      </c>
      <c r="F10" s="17" t="n">
        <f aca="false">IFERROR(C10/B10,0)</f>
        <v>0.00884493458945394</v>
      </c>
    </row>
    <row r="11" customFormat="false" ht="15" hidden="false" customHeight="true" outlineLevel="0" collapsed="false">
      <c r="A11" s="5" t="s">
        <v>71</v>
      </c>
      <c r="B11" s="6" t="n">
        <v>3405</v>
      </c>
      <c r="C11" s="6" t="n">
        <v>37.43</v>
      </c>
      <c r="D11" s="16" t="n">
        <v>252</v>
      </c>
      <c r="E11" s="6" t="n">
        <f aca="false">IFERROR(B11/D11,0)</f>
        <v>13.5119047619048</v>
      </c>
      <c r="F11" s="17" t="n">
        <f aca="false">IFERROR(C11/B11,0)</f>
        <v>0.010992657856094</v>
      </c>
    </row>
    <row r="12" customFormat="false" ht="15" hidden="false" customHeight="true" outlineLevel="0" collapsed="false">
      <c r="A12" s="5" t="s">
        <v>72</v>
      </c>
      <c r="B12" s="6" t="n">
        <v>8169.8</v>
      </c>
      <c r="C12" s="6" t="n">
        <v>74.11</v>
      </c>
      <c r="D12" s="16" t="n">
        <v>507</v>
      </c>
      <c r="E12" s="6" t="n">
        <f aca="false">IFERROR(B12/D12,0)</f>
        <v>16.1140039447732</v>
      </c>
      <c r="F12" s="17" t="n">
        <f aca="false">IFERROR(C12/B12,0)</f>
        <v>0.00907121349359837</v>
      </c>
    </row>
    <row r="13" customFormat="false" ht="15" hidden="false" customHeight="true" outlineLevel="0" collapsed="false">
      <c r="A13" s="5" t="s">
        <v>73</v>
      </c>
      <c r="B13" s="6" t="n">
        <v>2510.3</v>
      </c>
      <c r="C13" s="6" t="n">
        <v>22.4</v>
      </c>
      <c r="D13" s="16" t="n">
        <v>310</v>
      </c>
      <c r="E13" s="6" t="n">
        <f aca="false">IFERROR(B13/D13,0)</f>
        <v>8.09774193548387</v>
      </c>
      <c r="F13" s="17" t="n">
        <f aca="false">IFERROR(C13/B13,0)</f>
        <v>0.00892323626658168</v>
      </c>
    </row>
    <row r="14" customFormat="false" ht="15" hidden="false" customHeight="true" outlineLevel="0" collapsed="false">
      <c r="A14" s="5" t="s">
        <v>74</v>
      </c>
      <c r="B14" s="6" t="n">
        <v>1924.5</v>
      </c>
      <c r="C14" s="6" t="n">
        <v>18.23</v>
      </c>
      <c r="D14" s="16" t="n">
        <v>306</v>
      </c>
      <c r="E14" s="6" t="n">
        <f aca="false">IFERROR(B14/D14,0)</f>
        <v>6.28921568627451</v>
      </c>
      <c r="F14" s="17" t="n">
        <f aca="false">IFERROR(C14/B14,0)</f>
        <v>0.00947259028319044</v>
      </c>
    </row>
    <row r="15" customFormat="false" ht="15" hidden="false" customHeight="true" outlineLevel="0" collapsed="false">
      <c r="A15" s="5" t="s">
        <v>75</v>
      </c>
      <c r="B15" s="6" t="n">
        <v>1550.5</v>
      </c>
      <c r="C15" s="6" t="n">
        <v>13.02</v>
      </c>
      <c r="D15" s="16" t="n">
        <v>314</v>
      </c>
      <c r="E15" s="6" t="n">
        <f aca="false">IFERROR(B15/D15,0)</f>
        <v>4.93789808917197</v>
      </c>
      <c r="F15" s="17" t="n">
        <f aca="false">IFERROR(C15/B15,0)</f>
        <v>0.00839729119638826</v>
      </c>
    </row>
    <row r="16" customFormat="false" ht="15" hidden="false" customHeight="true" outlineLevel="0" collapsed="false">
      <c r="A16" s="5" t="s">
        <v>76</v>
      </c>
      <c r="B16" s="6" t="n">
        <v>1472.6</v>
      </c>
      <c r="C16" s="6" t="n">
        <v>12.2</v>
      </c>
      <c r="D16" s="16" t="n">
        <v>195</v>
      </c>
      <c r="E16" s="6" t="n">
        <f aca="false">IFERROR(B16/D16,0)</f>
        <v>7.55179487179487</v>
      </c>
      <c r="F16" s="17" t="n">
        <f aca="false">IFERROR(C16/B16,0)</f>
        <v>0.00828466657612386</v>
      </c>
    </row>
    <row r="17" customFormat="false" ht="15" hidden="false" customHeight="true" outlineLevel="0" collapsed="false">
      <c r="A17" s="5" t="s">
        <v>77</v>
      </c>
      <c r="B17" s="6" t="n">
        <v>3825.6</v>
      </c>
      <c r="C17" s="6" t="n">
        <v>41.34</v>
      </c>
      <c r="D17" s="16" t="n">
        <v>438</v>
      </c>
      <c r="E17" s="6" t="n">
        <f aca="false">IFERROR(B17/D17,0)</f>
        <v>8.73424657534247</v>
      </c>
      <c r="F17" s="17" t="n">
        <f aca="false">IFERROR(C17/B17,0)</f>
        <v>0.010806148055207</v>
      </c>
    </row>
    <row r="18" customFormat="false" ht="15" hidden="false" customHeight="true" outlineLevel="0" collapsed="false">
      <c r="A18" s="5" t="s">
        <v>78</v>
      </c>
      <c r="B18" s="6" t="n">
        <v>5790.7</v>
      </c>
      <c r="C18" s="6" t="n">
        <v>66.52</v>
      </c>
      <c r="D18" s="16" t="n">
        <v>466</v>
      </c>
      <c r="E18" s="6" t="n">
        <f aca="false">IFERROR(B18/D18,0)</f>
        <v>12.4263948497854</v>
      </c>
      <c r="F18" s="17" t="n">
        <f aca="false">IFERROR(C18/B18,0)</f>
        <v>0.0114873849448253</v>
      </c>
    </row>
    <row r="19" customFormat="false" ht="15" hidden="false" customHeight="true" outlineLevel="0" collapsed="false">
      <c r="A19" s="5" t="s">
        <v>79</v>
      </c>
      <c r="B19" s="6" t="n">
        <v>3815.9</v>
      </c>
      <c r="C19" s="6" t="n">
        <v>41.19</v>
      </c>
      <c r="D19" s="16" t="n">
        <v>343</v>
      </c>
      <c r="E19" s="6" t="n">
        <f aca="false">IFERROR(B19/D19,0)</f>
        <v>11.1250728862974</v>
      </c>
      <c r="F19" s="17" t="n">
        <f aca="false">IFERROR(C19/B19,0)</f>
        <v>0.0107943080269399</v>
      </c>
    </row>
    <row r="20" customFormat="false" ht="15" hidden="false" customHeight="true" outlineLevel="0" collapsed="false">
      <c r="A20" s="5" t="s">
        <v>80</v>
      </c>
      <c r="B20" s="6" t="n">
        <v>3516.6</v>
      </c>
      <c r="C20" s="6" t="n">
        <v>38.66</v>
      </c>
      <c r="D20" s="16" t="n">
        <v>303</v>
      </c>
      <c r="E20" s="6" t="n">
        <f aca="false">IFERROR(B20/D20,0)</f>
        <v>11.6059405940594</v>
      </c>
      <c r="F20" s="17" t="n">
        <f aca="false">IFERROR(C20/B20,0)</f>
        <v>0.0109935733378832</v>
      </c>
    </row>
    <row r="21" customFormat="false" ht="15" hidden="false" customHeight="true" outlineLevel="0" collapsed="false">
      <c r="A21" s="5" t="s">
        <v>81</v>
      </c>
      <c r="B21" s="6" t="n">
        <v>5968.1</v>
      </c>
      <c r="C21" s="6" t="n">
        <v>54.66</v>
      </c>
      <c r="D21" s="16" t="n">
        <v>461</v>
      </c>
      <c r="E21" s="6" t="n">
        <f aca="false">IFERROR(B21/D21,0)</f>
        <v>12.9459869848156</v>
      </c>
      <c r="F21" s="17" t="n">
        <f aca="false">IFERROR(C21/B21,0)</f>
        <v>0.00915869372161995</v>
      </c>
    </row>
    <row r="22" customFormat="false" ht="15" hidden="false" customHeight="true" outlineLevel="0" collapsed="false">
      <c r="A22" s="5" t="s">
        <v>82</v>
      </c>
      <c r="B22" s="6" t="n">
        <v>4978.1</v>
      </c>
      <c r="C22" s="6" t="n">
        <v>45.56</v>
      </c>
      <c r="D22" s="16" t="n">
        <v>328</v>
      </c>
      <c r="E22" s="6" t="n">
        <f aca="false">IFERROR(B22/D22,0)</f>
        <v>15.1771341463415</v>
      </c>
      <c r="F22" s="17" t="n">
        <f aca="false">IFERROR(C22/B22,0)</f>
        <v>0.00915208613728129</v>
      </c>
    </row>
    <row r="23" customFormat="false" ht="15" hidden="false" customHeight="true" outlineLevel="0" collapsed="false">
      <c r="A23" s="5" t="s">
        <v>83</v>
      </c>
      <c r="B23" s="6" t="n">
        <v>4931.6</v>
      </c>
      <c r="C23" s="6" t="n">
        <v>54.25</v>
      </c>
      <c r="D23" s="16" t="n">
        <v>215</v>
      </c>
      <c r="E23" s="6" t="n">
        <f aca="false">IFERROR(B23/D23,0)</f>
        <v>22.9376744186047</v>
      </c>
      <c r="F23" s="17" t="n">
        <f aca="false">IFERROR(C23/B23,0)</f>
        <v>0.0110004866574742</v>
      </c>
    </row>
    <row r="24" customFormat="false" ht="15" hidden="false" customHeight="true" outlineLevel="0" collapsed="false">
      <c r="A24" s="5" t="s">
        <v>84</v>
      </c>
      <c r="B24" s="6" t="n">
        <v>2632.8</v>
      </c>
      <c r="C24" s="6" t="n">
        <v>27.84</v>
      </c>
      <c r="D24" s="16" t="n">
        <v>170</v>
      </c>
      <c r="E24" s="6" t="n">
        <f aca="false">IFERROR(B24/D24,0)</f>
        <v>15.4870588235294</v>
      </c>
      <c r="F24" s="17" t="n">
        <f aca="false">IFERROR(C24/B24,0)</f>
        <v>0.0105742935278031</v>
      </c>
    </row>
    <row r="25" customFormat="false" ht="15" hidden="false" customHeight="true" outlineLevel="0" collapsed="false">
      <c r="A25" s="5" t="s">
        <v>85</v>
      </c>
      <c r="B25" s="6" t="n">
        <v>771.4</v>
      </c>
      <c r="C25" s="6" t="n">
        <v>8.34</v>
      </c>
      <c r="D25" s="16" t="n">
        <v>119</v>
      </c>
      <c r="E25" s="6" t="n">
        <f aca="false">IFERROR(B25/D25,0)</f>
        <v>6.48235294117647</v>
      </c>
      <c r="F25" s="17" t="n">
        <f aca="false">IFERROR(C25/B25,0)</f>
        <v>0.0108115115374644</v>
      </c>
    </row>
    <row r="26" customFormat="false" ht="15" hidden="false" customHeight="true" outlineLevel="0" collapsed="false">
      <c r="A26" s="5" t="s">
        <v>86</v>
      </c>
      <c r="B26" s="6" t="n">
        <v>468.9</v>
      </c>
      <c r="C26" s="6" t="n">
        <v>5.53</v>
      </c>
      <c r="D26" s="16" t="n">
        <v>80</v>
      </c>
      <c r="E26" s="6" t="n">
        <f aca="false">IFERROR(B26/D26,0)</f>
        <v>5.86125</v>
      </c>
      <c r="F26" s="17" t="n">
        <f aca="false">IFERROR(C26/B26,0)</f>
        <v>0.0117935593943272</v>
      </c>
    </row>
    <row r="27" customFormat="false" ht="15" hidden="false" customHeight="true" outlineLevel="0" collapsed="false">
      <c r="A27" s="5" t="s">
        <v>87</v>
      </c>
      <c r="B27" s="6" t="n">
        <v>5334.2</v>
      </c>
      <c r="C27" s="6" t="n">
        <v>49.54</v>
      </c>
      <c r="D27" s="16" t="n">
        <v>409</v>
      </c>
      <c r="E27" s="6" t="n">
        <f aca="false">IFERROR(B27/D27,0)</f>
        <v>13.0420537897311</v>
      </c>
      <c r="F27" s="17" t="n">
        <f aca="false">IFERROR(C27/B27,0)</f>
        <v>0.0092872408233662</v>
      </c>
    </row>
    <row r="28" customFormat="false" ht="15" hidden="false" customHeight="true" outlineLevel="0" collapsed="false">
      <c r="A28" s="5" t="s">
        <v>88</v>
      </c>
      <c r="B28" s="6" t="n">
        <v>5418.9</v>
      </c>
      <c r="C28" s="6" t="n">
        <v>53.23</v>
      </c>
      <c r="D28" s="16" t="n">
        <v>435</v>
      </c>
      <c r="E28" s="6" t="n">
        <f aca="false">IFERROR(B28/D28,0)</f>
        <v>12.4572413793103</v>
      </c>
      <c r="F28" s="17" t="n">
        <f aca="false">IFERROR(C28/B28,0)</f>
        <v>0.00982302681355995</v>
      </c>
    </row>
    <row r="29" customFormat="false" ht="15" hidden="false" customHeight="true" outlineLevel="0" collapsed="false">
      <c r="A29" s="9" t="s">
        <v>44</v>
      </c>
      <c r="B29" s="10" t="n">
        <f aca="false">SUM(B5:B28)</f>
        <v>75771.1</v>
      </c>
      <c r="C29" s="10" t="n">
        <f aca="false">SUM(C5:C28)</f>
        <v>752.24</v>
      </c>
      <c r="D29" s="18" t="n">
        <f aca="false">SUM(D5:D28)</f>
        <v>7244</v>
      </c>
      <c r="E29" s="10" t="n">
        <f aca="false">IFERROR(B29/D29,0)</f>
        <v>10.4598426283821</v>
      </c>
      <c r="F29" s="19" t="n">
        <f aca="false">IFERROR(C29/B29,0)</f>
        <v>0.00992779568991344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5"/>
  </cols>
  <sheetData>
    <row r="1" customFormat="false" ht="21.75" hidden="false" customHeight="true" outlineLevel="0" collapsed="false">
      <c r="A1" s="2" t="s">
        <v>89</v>
      </c>
      <c r="B1" s="2"/>
      <c r="C1" s="2"/>
      <c r="D1" s="2"/>
    </row>
    <row r="2" customFormat="false" ht="15" hidden="false" customHeight="true" outlineLevel="0" collapsed="false">
      <c r="A2" s="3" t="s">
        <v>90</v>
      </c>
      <c r="B2" s="3"/>
      <c r="C2" s="3"/>
      <c r="D2" s="3"/>
    </row>
    <row r="4" customFormat="false" ht="27.75" hidden="false" customHeight="true" outlineLevel="0" collapsed="false">
      <c r="A4" s="4" t="s">
        <v>91</v>
      </c>
      <c r="B4" s="4" t="s">
        <v>3</v>
      </c>
      <c r="C4" s="4" t="s">
        <v>34</v>
      </c>
      <c r="D4" s="4" t="s">
        <v>92</v>
      </c>
    </row>
    <row r="5" customFormat="false" ht="15" hidden="false" customHeight="true" outlineLevel="0" collapsed="false">
      <c r="A5" s="5" t="s">
        <v>93</v>
      </c>
      <c r="B5" s="6" t="n">
        <v>10443.7</v>
      </c>
      <c r="C5" s="16" t="n">
        <v>1842</v>
      </c>
      <c r="D5" s="17" t="n">
        <f aca="false">IFERROR(B5/$B$11,0)</f>
        <v>0.137832234189552</v>
      </c>
    </row>
    <row r="6" customFormat="false" ht="15" hidden="false" customHeight="true" outlineLevel="0" collapsed="false">
      <c r="A6" s="5" t="s">
        <v>94</v>
      </c>
      <c r="B6" s="6" t="n">
        <v>14938.5</v>
      </c>
      <c r="C6" s="16" t="n">
        <v>1463</v>
      </c>
      <c r="D6" s="17" t="n">
        <f aca="false">IFERROR(B6/$B$11,0)</f>
        <v>0.197153004245682</v>
      </c>
    </row>
    <row r="7" customFormat="false" ht="15" hidden="false" customHeight="true" outlineLevel="0" collapsed="false">
      <c r="A7" s="5" t="s">
        <v>95</v>
      </c>
      <c r="B7" s="6" t="n">
        <v>39419.5</v>
      </c>
      <c r="C7" s="16" t="n">
        <v>3302</v>
      </c>
      <c r="D7" s="17" t="n">
        <f aca="false">IFERROR(B7/$B$11,0)</f>
        <v>0.520244525947228</v>
      </c>
    </row>
    <row r="8" customFormat="false" ht="15" hidden="false" customHeight="true" outlineLevel="0" collapsed="false">
      <c r="A8" s="5" t="s">
        <v>96</v>
      </c>
      <c r="B8" s="6" t="n">
        <v>3405</v>
      </c>
      <c r="C8" s="16" t="n">
        <v>252</v>
      </c>
      <c r="D8" s="17" t="n">
        <f aca="false">IFERROR(B8/$B$11,0)</f>
        <v>0.044937977672226</v>
      </c>
    </row>
    <row r="9" customFormat="false" ht="15" hidden="false" customHeight="true" outlineLevel="0" collapsed="false">
      <c r="A9" s="5" t="s">
        <v>97</v>
      </c>
      <c r="B9" s="6" t="n">
        <v>2632.8</v>
      </c>
      <c r="C9" s="16" t="n">
        <v>170</v>
      </c>
      <c r="D9" s="17" t="n">
        <f aca="false">IFERROR(B9/$B$11,0)</f>
        <v>0.0347467570089388</v>
      </c>
    </row>
    <row r="10" customFormat="false" ht="15" hidden="false" customHeight="true" outlineLevel="0" collapsed="false">
      <c r="A10" s="5" t="s">
        <v>98</v>
      </c>
      <c r="B10" s="6" t="n">
        <v>4931.6</v>
      </c>
      <c r="C10" s="16" t="n">
        <v>215</v>
      </c>
      <c r="D10" s="17" t="n">
        <f aca="false">IFERROR(B10/$B$11,0)</f>
        <v>0.0650855009363728</v>
      </c>
    </row>
    <row r="11" customFormat="false" ht="15" hidden="false" customHeight="true" outlineLevel="0" collapsed="false">
      <c r="A11" s="9" t="s">
        <v>44</v>
      </c>
      <c r="B11" s="10" t="n">
        <f aca="false">SUM(B5:B10)</f>
        <v>75771.1</v>
      </c>
      <c r="C11" s="18" t="n">
        <f aca="false">SUM(C5:C10)</f>
        <v>7244</v>
      </c>
      <c r="D11" s="19" t="n">
        <f aca="false">IFERROR(B11/B11,0)</f>
        <v>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12"/>
  </cols>
  <sheetData>
    <row r="1" customFormat="false" ht="21.75" hidden="false" customHeight="true" outlineLevel="0" collapsed="false">
      <c r="A1" s="2" t="s">
        <v>99</v>
      </c>
      <c r="B1" s="2"/>
      <c r="C1" s="2"/>
      <c r="D1" s="2"/>
      <c r="E1" s="2"/>
    </row>
    <row r="2" customFormat="false" ht="15" hidden="false" customHeight="true" outlineLevel="0" collapsed="false">
      <c r="A2" s="3" t="s">
        <v>100</v>
      </c>
      <c r="B2" s="3"/>
      <c r="C2" s="3"/>
      <c r="D2" s="3"/>
      <c r="E2" s="3"/>
    </row>
    <row r="4" customFormat="false" ht="27.75" hidden="false" customHeight="true" outlineLevel="0" collapsed="false">
      <c r="A4" s="4" t="s">
        <v>101</v>
      </c>
      <c r="B4" s="4" t="s">
        <v>102</v>
      </c>
      <c r="C4" s="4" t="s">
        <v>103</v>
      </c>
      <c r="D4" s="4" t="s">
        <v>104</v>
      </c>
      <c r="E4" s="4" t="s">
        <v>105</v>
      </c>
    </row>
    <row r="5" customFormat="false" ht="15" hidden="false" customHeight="true" outlineLevel="0" collapsed="false">
      <c r="A5" s="27" t="s">
        <v>53</v>
      </c>
      <c r="B5" s="16" t="n">
        <v>68</v>
      </c>
      <c r="C5" s="16" t="n">
        <v>504848</v>
      </c>
      <c r="D5" s="6" t="n">
        <v>16397.6</v>
      </c>
      <c r="E5" s="17" t="n">
        <f aca="false">IFERROR(D5/$D$10,0)</f>
        <v>0.216409686542758</v>
      </c>
    </row>
    <row r="6" customFormat="false" ht="15" hidden="false" customHeight="true" outlineLevel="0" collapsed="false">
      <c r="A6" s="27" t="s">
        <v>55</v>
      </c>
      <c r="B6" s="16" t="n">
        <v>59</v>
      </c>
      <c r="C6" s="16" t="n">
        <v>357975</v>
      </c>
      <c r="D6" s="6" t="n">
        <v>19488</v>
      </c>
      <c r="E6" s="17" t="n">
        <f aca="false">IFERROR(D6/$D$10,0)</f>
        <v>0.257195685426238</v>
      </c>
    </row>
    <row r="7" customFormat="false" ht="15" hidden="false" customHeight="true" outlineLevel="0" collapsed="false">
      <c r="A7" s="27" t="s">
        <v>56</v>
      </c>
      <c r="B7" s="16" t="n">
        <v>35</v>
      </c>
      <c r="C7" s="16" t="n">
        <v>110342</v>
      </c>
      <c r="D7" s="6" t="n">
        <v>29979.9</v>
      </c>
      <c r="E7" s="17" t="n">
        <f aca="false">IFERROR(D7/$D$10,0)</f>
        <v>0.395664046054498</v>
      </c>
    </row>
    <row r="8" customFormat="false" ht="15" hidden="false" customHeight="true" outlineLevel="0" collapsed="false">
      <c r="A8" s="27" t="s">
        <v>57</v>
      </c>
      <c r="B8" s="16" t="n">
        <v>38</v>
      </c>
      <c r="C8" s="16" t="n">
        <v>64867</v>
      </c>
      <c r="D8" s="6" t="n">
        <v>7893.3</v>
      </c>
      <c r="E8" s="17" t="n">
        <f aca="false">IFERROR(D8/$D$10,0)</f>
        <v>0.104172963042638</v>
      </c>
    </row>
    <row r="9" customFormat="false" ht="15" hidden="false" customHeight="true" outlineLevel="0" collapsed="false">
      <c r="A9" s="5" t="s">
        <v>106</v>
      </c>
      <c r="B9" s="16" t="s">
        <v>13</v>
      </c>
      <c r="C9" s="16" t="n">
        <v>125000</v>
      </c>
      <c r="D9" s="6" t="n">
        <v>2012.3</v>
      </c>
      <c r="E9" s="17" t="n">
        <f aca="false">IFERROR(D9/$D$10,0)</f>
        <v>0.0265576189338679</v>
      </c>
    </row>
    <row r="10" customFormat="false" ht="15" hidden="false" customHeight="true" outlineLevel="0" collapsed="false">
      <c r="A10" s="9" t="s">
        <v>107</v>
      </c>
      <c r="B10" s="28"/>
      <c r="C10" s="18" t="n">
        <f aca="false">SUM(C5:C9)</f>
        <v>1163032</v>
      </c>
      <c r="D10" s="10" t="n">
        <f aca="false">SUM(D5:D9)</f>
        <v>75771.1</v>
      </c>
      <c r="E10" s="19" t="n">
        <f aca="false">IFERROR(D10/D10,0)</f>
        <v>1</v>
      </c>
    </row>
    <row r="12" customFormat="false" ht="15" hidden="false" customHeight="true" outlineLevel="0" collapsed="false">
      <c r="A12" s="20" t="s">
        <v>108</v>
      </c>
      <c r="B12" s="20"/>
      <c r="C12" s="20"/>
      <c r="D12" s="20"/>
      <c r="E12" s="20"/>
    </row>
    <row r="13" customFormat="false" ht="15" hidden="false" customHeight="true" outlineLevel="0" collapsed="false">
      <c r="A13" s="20" t="s">
        <v>109</v>
      </c>
      <c r="B13" s="20"/>
      <c r="C13" s="20"/>
      <c r="D13" s="20"/>
      <c r="E13" s="20"/>
    </row>
  </sheetData>
  <mergeCells count="4">
    <mergeCell ref="A1:E1"/>
    <mergeCell ref="A2:E2"/>
    <mergeCell ref="A12:E1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21.75" hidden="false" customHeight="true" outlineLevel="0" collapsed="false">
      <c r="A1" s="2" t="s">
        <v>110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111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4" t="s">
        <v>33</v>
      </c>
      <c r="B4" s="4" t="s">
        <v>3</v>
      </c>
      <c r="C4" s="4" t="s">
        <v>34</v>
      </c>
      <c r="D4" s="4" t="s">
        <v>35</v>
      </c>
      <c r="E4" s="4" t="s">
        <v>112</v>
      </c>
      <c r="F4" s="4" t="s">
        <v>36</v>
      </c>
    </row>
    <row r="5" customFormat="false" ht="15" hidden="false" customHeight="true" outlineLevel="0" collapsed="false">
      <c r="A5" s="5" t="s">
        <v>65</v>
      </c>
      <c r="B5" s="6" t="n">
        <v>392.3</v>
      </c>
      <c r="C5" s="16" t="n">
        <v>65</v>
      </c>
      <c r="D5" s="6" t="n">
        <f aca="false">IFERROR(B5/C5,0)</f>
        <v>6.03538461538462</v>
      </c>
      <c r="E5" s="17" t="n">
        <f aca="false">IFERROR(C5/500,0)</f>
        <v>0.13</v>
      </c>
      <c r="F5" s="17" t="n">
        <v>0.0095</v>
      </c>
    </row>
    <row r="6" customFormat="false" ht="15" hidden="false" customHeight="true" outlineLevel="0" collapsed="false">
      <c r="A6" s="5" t="s">
        <v>66</v>
      </c>
      <c r="B6" s="6" t="n">
        <v>2948.4</v>
      </c>
      <c r="C6" s="16" t="n">
        <v>408</v>
      </c>
      <c r="D6" s="6" t="n">
        <f aca="false">IFERROR(B6/C6,0)</f>
        <v>7.22647058823529</v>
      </c>
      <c r="E6" s="17" t="n">
        <f aca="false">IFERROR(C6/500,0)</f>
        <v>0.816</v>
      </c>
      <c r="F6" s="17" t="n">
        <v>0.0097</v>
      </c>
    </row>
    <row r="7" customFormat="false" ht="15" hidden="false" customHeight="true" outlineLevel="0" collapsed="false">
      <c r="A7" s="5" t="s">
        <v>67</v>
      </c>
      <c r="B7" s="6" t="n">
        <v>2444.2</v>
      </c>
      <c r="C7" s="16" t="n">
        <v>380</v>
      </c>
      <c r="D7" s="6" t="n">
        <f aca="false">IFERROR(B7/C7,0)</f>
        <v>6.43210526315789</v>
      </c>
      <c r="E7" s="17" t="n">
        <f aca="false">IFERROR(C7/500,0)</f>
        <v>0.76</v>
      </c>
      <c r="F7" s="17" t="n">
        <v>0.0096</v>
      </c>
    </row>
    <row r="8" customFormat="false" ht="15" hidden="false" customHeight="true" outlineLevel="0" collapsed="false">
      <c r="A8" s="5" t="s">
        <v>68</v>
      </c>
      <c r="B8" s="6" t="n">
        <v>147.3</v>
      </c>
      <c r="C8" s="16" t="n">
        <v>112</v>
      </c>
      <c r="D8" s="6" t="n">
        <f aca="false">IFERROR(B8/C8,0)</f>
        <v>1.31517857142857</v>
      </c>
      <c r="E8" s="17" t="n">
        <f aca="false">IFERROR(C8/500,0)</f>
        <v>0.224</v>
      </c>
      <c r="F8" s="17" t="n">
        <v>0.0089</v>
      </c>
    </row>
    <row r="9" customFormat="false" ht="15" hidden="false" customHeight="true" outlineLevel="0" collapsed="false">
      <c r="A9" s="5" t="s">
        <v>69</v>
      </c>
      <c r="B9" s="6" t="n">
        <v>1113.7</v>
      </c>
      <c r="C9" s="16" t="n">
        <v>221</v>
      </c>
      <c r="D9" s="6" t="n">
        <f aca="false">IFERROR(B9/C9,0)</f>
        <v>5.0393665158371</v>
      </c>
      <c r="E9" s="17" t="n">
        <f aca="false">IFERROR(C9/500,0)</f>
        <v>0.442</v>
      </c>
      <c r="F9" s="17" t="n">
        <v>0.01</v>
      </c>
    </row>
    <row r="10" customFormat="false" ht="15" hidden="false" customHeight="true" outlineLevel="0" collapsed="false">
      <c r="A10" s="5" t="s">
        <v>70</v>
      </c>
      <c r="B10" s="6" t="n">
        <v>2239.7</v>
      </c>
      <c r="C10" s="16" t="n">
        <v>407</v>
      </c>
      <c r="D10" s="6" t="n">
        <f aca="false">IFERROR(B10/C10,0)</f>
        <v>5.5029484029484</v>
      </c>
      <c r="E10" s="17" t="n">
        <f aca="false">IFERROR(C10/500,0)</f>
        <v>0.814</v>
      </c>
      <c r="F10" s="17" t="n">
        <v>0.0088</v>
      </c>
    </row>
    <row r="11" customFormat="false" ht="15" hidden="false" customHeight="true" outlineLevel="0" collapsed="false">
      <c r="A11" s="5" t="s">
        <v>71</v>
      </c>
      <c r="B11" s="6" t="n">
        <v>3405</v>
      </c>
      <c r="C11" s="16" t="n">
        <v>252</v>
      </c>
      <c r="D11" s="6" t="n">
        <f aca="false">IFERROR(B11/C11,0)</f>
        <v>13.5119047619048</v>
      </c>
      <c r="E11" s="17" t="n">
        <f aca="false">IFERROR(C11/500,0)</f>
        <v>0.504</v>
      </c>
      <c r="F11" s="17" t="n">
        <v>0.011</v>
      </c>
    </row>
    <row r="12" customFormat="false" ht="15" hidden="false" customHeight="true" outlineLevel="0" collapsed="false">
      <c r="A12" s="5" t="s">
        <v>72</v>
      </c>
      <c r="B12" s="6" t="n">
        <v>8169.8</v>
      </c>
      <c r="C12" s="16" t="n">
        <v>507</v>
      </c>
      <c r="D12" s="6" t="n">
        <f aca="false">IFERROR(B12/C12,0)</f>
        <v>16.1140039447732</v>
      </c>
      <c r="E12" s="17" t="n">
        <f aca="false">IFERROR(C12/500,0)</f>
        <v>1.014</v>
      </c>
      <c r="F12" s="17" t="n">
        <v>0.0091</v>
      </c>
    </row>
    <row r="13" customFormat="false" ht="15" hidden="false" customHeight="true" outlineLevel="0" collapsed="false">
      <c r="A13" s="5" t="s">
        <v>73</v>
      </c>
      <c r="B13" s="6" t="n">
        <v>2510.3</v>
      </c>
      <c r="C13" s="16" t="n">
        <v>310</v>
      </c>
      <c r="D13" s="6" t="n">
        <f aca="false">IFERROR(B13/C13,0)</f>
        <v>8.09774193548387</v>
      </c>
      <c r="E13" s="17" t="n">
        <f aca="false">IFERROR(C13/500,0)</f>
        <v>0.62</v>
      </c>
      <c r="F13" s="17" t="n">
        <v>0.0089</v>
      </c>
    </row>
    <row r="14" customFormat="false" ht="15" hidden="false" customHeight="true" outlineLevel="0" collapsed="false">
      <c r="A14" s="5" t="s">
        <v>74</v>
      </c>
      <c r="B14" s="6" t="n">
        <v>1924.5</v>
      </c>
      <c r="C14" s="16" t="n">
        <v>306</v>
      </c>
      <c r="D14" s="6" t="n">
        <f aca="false">IFERROR(B14/C14,0)</f>
        <v>6.28921568627451</v>
      </c>
      <c r="E14" s="17" t="n">
        <f aca="false">IFERROR(C14/500,0)</f>
        <v>0.612</v>
      </c>
      <c r="F14" s="17" t="n">
        <v>0.0095</v>
      </c>
    </row>
    <row r="15" customFormat="false" ht="15" hidden="false" customHeight="true" outlineLevel="0" collapsed="false">
      <c r="A15" s="5" t="s">
        <v>75</v>
      </c>
      <c r="B15" s="6" t="n">
        <v>1550.5</v>
      </c>
      <c r="C15" s="16" t="n">
        <v>314</v>
      </c>
      <c r="D15" s="6" t="n">
        <f aca="false">IFERROR(B15/C15,0)</f>
        <v>4.93789808917197</v>
      </c>
      <c r="E15" s="17" t="n">
        <f aca="false">IFERROR(C15/500,0)</f>
        <v>0.628</v>
      </c>
      <c r="F15" s="17" t="n">
        <v>0.0084</v>
      </c>
    </row>
    <row r="16" customFormat="false" ht="15" hidden="false" customHeight="true" outlineLevel="0" collapsed="false">
      <c r="A16" s="5" t="s">
        <v>76</v>
      </c>
      <c r="B16" s="6" t="n">
        <v>1472.6</v>
      </c>
      <c r="C16" s="16" t="n">
        <v>195</v>
      </c>
      <c r="D16" s="6" t="n">
        <f aca="false">IFERROR(B16/C16,0)</f>
        <v>7.55179487179487</v>
      </c>
      <c r="E16" s="17" t="n">
        <f aca="false">IFERROR(C16/500,0)</f>
        <v>0.39</v>
      </c>
      <c r="F16" s="17" t="n">
        <v>0.0083</v>
      </c>
    </row>
    <row r="17" customFormat="false" ht="15" hidden="false" customHeight="true" outlineLevel="0" collapsed="false">
      <c r="A17" s="5" t="s">
        <v>77</v>
      </c>
      <c r="B17" s="6" t="n">
        <v>3825.6</v>
      </c>
      <c r="C17" s="16" t="n">
        <v>438</v>
      </c>
      <c r="D17" s="6" t="n">
        <f aca="false">IFERROR(B17/C17,0)</f>
        <v>8.73424657534247</v>
      </c>
      <c r="E17" s="17" t="n">
        <f aca="false">IFERROR(C17/500,0)</f>
        <v>0.876</v>
      </c>
      <c r="F17" s="17" t="n">
        <v>0.0108</v>
      </c>
    </row>
    <row r="18" customFormat="false" ht="15" hidden="false" customHeight="true" outlineLevel="0" collapsed="false">
      <c r="A18" s="5" t="s">
        <v>78</v>
      </c>
      <c r="B18" s="6" t="n">
        <v>5790.7</v>
      </c>
      <c r="C18" s="16" t="n">
        <v>466</v>
      </c>
      <c r="D18" s="6" t="n">
        <f aca="false">IFERROR(B18/C18,0)</f>
        <v>12.4263948497854</v>
      </c>
      <c r="E18" s="17" t="n">
        <f aca="false">IFERROR(C18/500,0)</f>
        <v>0.932</v>
      </c>
      <c r="F18" s="17" t="n">
        <v>0.0115</v>
      </c>
    </row>
    <row r="19" customFormat="false" ht="15" hidden="false" customHeight="true" outlineLevel="0" collapsed="false">
      <c r="A19" s="5" t="s">
        <v>79</v>
      </c>
      <c r="B19" s="6" t="n">
        <v>3815.9</v>
      </c>
      <c r="C19" s="16" t="n">
        <v>343</v>
      </c>
      <c r="D19" s="6" t="n">
        <f aca="false">IFERROR(B19/C19,0)</f>
        <v>11.1250728862974</v>
      </c>
      <c r="E19" s="17" t="n">
        <f aca="false">IFERROR(C19/500,0)</f>
        <v>0.686</v>
      </c>
      <c r="F19" s="17" t="n">
        <v>0.0108</v>
      </c>
    </row>
    <row r="20" customFormat="false" ht="15" hidden="false" customHeight="true" outlineLevel="0" collapsed="false">
      <c r="A20" s="5" t="s">
        <v>80</v>
      </c>
      <c r="B20" s="6" t="n">
        <v>3516.6</v>
      </c>
      <c r="C20" s="16" t="n">
        <v>303</v>
      </c>
      <c r="D20" s="6" t="n">
        <f aca="false">IFERROR(B20/C20,0)</f>
        <v>11.6059405940594</v>
      </c>
      <c r="E20" s="17" t="n">
        <f aca="false">IFERROR(C20/500,0)</f>
        <v>0.606</v>
      </c>
      <c r="F20" s="17" t="n">
        <v>0.011</v>
      </c>
    </row>
    <row r="21" customFormat="false" ht="15" hidden="false" customHeight="true" outlineLevel="0" collapsed="false">
      <c r="A21" s="5" t="s">
        <v>81</v>
      </c>
      <c r="B21" s="6" t="n">
        <v>5968.1</v>
      </c>
      <c r="C21" s="16" t="n">
        <v>461</v>
      </c>
      <c r="D21" s="6" t="n">
        <f aca="false">IFERROR(B21/C21,0)</f>
        <v>12.9459869848156</v>
      </c>
      <c r="E21" s="17" t="n">
        <f aca="false">IFERROR(C21/500,0)</f>
        <v>0.922</v>
      </c>
      <c r="F21" s="17" t="n">
        <v>0.0092</v>
      </c>
    </row>
    <row r="22" customFormat="false" ht="15" hidden="false" customHeight="true" outlineLevel="0" collapsed="false">
      <c r="A22" s="5" t="s">
        <v>82</v>
      </c>
      <c r="B22" s="6" t="n">
        <v>4978.1</v>
      </c>
      <c r="C22" s="16" t="n">
        <v>328</v>
      </c>
      <c r="D22" s="6" t="n">
        <f aca="false">IFERROR(B22/C22,0)</f>
        <v>15.1771341463415</v>
      </c>
      <c r="E22" s="17" t="n">
        <f aca="false">IFERROR(C22/500,0)</f>
        <v>0.656</v>
      </c>
      <c r="F22" s="17" t="n">
        <v>0.0092</v>
      </c>
    </row>
    <row r="23" customFormat="false" ht="15" hidden="false" customHeight="true" outlineLevel="0" collapsed="false">
      <c r="A23" s="5" t="s">
        <v>83</v>
      </c>
      <c r="B23" s="6" t="n">
        <v>4931.6</v>
      </c>
      <c r="C23" s="16" t="n">
        <v>215</v>
      </c>
      <c r="D23" s="6" t="n">
        <f aca="false">IFERROR(B23/C23,0)</f>
        <v>22.9376744186047</v>
      </c>
      <c r="E23" s="17" t="n">
        <f aca="false">IFERROR(C23/500,0)</f>
        <v>0.43</v>
      </c>
      <c r="F23" s="17" t="n">
        <v>0.011</v>
      </c>
    </row>
    <row r="24" customFormat="false" ht="15" hidden="false" customHeight="true" outlineLevel="0" collapsed="false">
      <c r="A24" s="5" t="s">
        <v>84</v>
      </c>
      <c r="B24" s="6" t="n">
        <v>2632.8</v>
      </c>
      <c r="C24" s="16" t="n">
        <v>170</v>
      </c>
      <c r="D24" s="6" t="n">
        <f aca="false">IFERROR(B24/C24,0)</f>
        <v>15.4870588235294</v>
      </c>
      <c r="E24" s="17" t="n">
        <f aca="false">IFERROR(C24/500,0)</f>
        <v>0.34</v>
      </c>
      <c r="F24" s="17" t="n">
        <v>0.0106</v>
      </c>
    </row>
    <row r="25" customFormat="false" ht="15" hidden="false" customHeight="true" outlineLevel="0" collapsed="false">
      <c r="A25" s="5" t="s">
        <v>85</v>
      </c>
      <c r="B25" s="6" t="n">
        <v>771.4</v>
      </c>
      <c r="C25" s="16" t="n">
        <v>119</v>
      </c>
      <c r="D25" s="6" t="n">
        <f aca="false">IFERROR(B25/C25,0)</f>
        <v>6.48235294117647</v>
      </c>
      <c r="E25" s="17" t="n">
        <f aca="false">IFERROR(C25/500,0)</f>
        <v>0.238</v>
      </c>
      <c r="F25" s="17" t="n">
        <v>0.0108</v>
      </c>
    </row>
    <row r="26" customFormat="false" ht="15" hidden="false" customHeight="true" outlineLevel="0" collapsed="false">
      <c r="A26" s="5" t="s">
        <v>86</v>
      </c>
      <c r="B26" s="6" t="n">
        <v>468.9</v>
      </c>
      <c r="C26" s="16" t="n">
        <v>80</v>
      </c>
      <c r="D26" s="6" t="n">
        <f aca="false">IFERROR(B26/C26,0)</f>
        <v>5.86125</v>
      </c>
      <c r="E26" s="17" t="n">
        <f aca="false">IFERROR(C26/500,0)</f>
        <v>0.16</v>
      </c>
      <c r="F26" s="17" t="n">
        <v>0.0118</v>
      </c>
    </row>
    <row r="27" customFormat="false" ht="15" hidden="false" customHeight="true" outlineLevel="0" collapsed="false">
      <c r="A27" s="5" t="s">
        <v>87</v>
      </c>
      <c r="B27" s="6" t="n">
        <v>5334.2</v>
      </c>
      <c r="C27" s="16" t="n">
        <v>409</v>
      </c>
      <c r="D27" s="6" t="n">
        <f aca="false">IFERROR(B27/C27,0)</f>
        <v>13.0420537897311</v>
      </c>
      <c r="E27" s="17" t="n">
        <f aca="false">IFERROR(C27/500,0)</f>
        <v>0.818</v>
      </c>
      <c r="F27" s="17" t="n">
        <v>0.0093</v>
      </c>
    </row>
    <row r="28" customFormat="false" ht="15" hidden="false" customHeight="true" outlineLevel="0" collapsed="false">
      <c r="A28" s="5" t="s">
        <v>88</v>
      </c>
      <c r="B28" s="6" t="n">
        <v>5418.9</v>
      </c>
      <c r="C28" s="16" t="n">
        <v>435</v>
      </c>
      <c r="D28" s="6" t="n">
        <f aca="false">IFERROR(B28/C28,0)</f>
        <v>12.4572413793103</v>
      </c>
      <c r="E28" s="17" t="n">
        <f aca="false">IFERROR(C28/500,0)</f>
        <v>0.87</v>
      </c>
      <c r="F28" s="17" t="n">
        <v>0.0098</v>
      </c>
    </row>
    <row r="29" customFormat="false" ht="15" hidden="false" customHeight="true" outlineLevel="0" collapsed="false">
      <c r="A29" s="9" t="s">
        <v>113</v>
      </c>
      <c r="B29" s="10" t="n">
        <f aca="false">SUM(B5:B28)</f>
        <v>75771.1</v>
      </c>
      <c r="C29" s="18" t="n">
        <f aca="false">SUM(C5:C28)</f>
        <v>7244</v>
      </c>
      <c r="D29" s="10" t="n">
        <f aca="false">IFERROR(B29/C29,0)</f>
        <v>10.4598426283821</v>
      </c>
      <c r="E29" s="19" t="n">
        <f aca="false">IFERROR(C29/(500*24),0)</f>
        <v>0.603666666666667</v>
      </c>
      <c r="F29" s="2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21.75" hidden="false" customHeight="true" outlineLevel="0" collapsed="false">
      <c r="A1" s="2" t="s">
        <v>114</v>
      </c>
      <c r="B1" s="2"/>
      <c r="C1" s="2"/>
      <c r="D1" s="2"/>
      <c r="E1" s="2"/>
    </row>
    <row r="2" customFormat="false" ht="15" hidden="false" customHeight="true" outlineLevel="0" collapsed="false">
      <c r="A2" s="3" t="s">
        <v>115</v>
      </c>
      <c r="B2" s="3"/>
      <c r="C2" s="3"/>
      <c r="D2" s="3"/>
      <c r="E2" s="3"/>
    </row>
    <row r="4" customFormat="false" ht="27.75" hidden="false" customHeight="true" outlineLevel="0" collapsed="false">
      <c r="A4" s="4" t="s">
        <v>33</v>
      </c>
      <c r="B4" s="4" t="s">
        <v>3</v>
      </c>
      <c r="C4" s="4" t="s">
        <v>103</v>
      </c>
      <c r="D4" s="4" t="s">
        <v>116</v>
      </c>
      <c r="E4" s="4" t="s">
        <v>105</v>
      </c>
    </row>
    <row r="5" customFormat="false" ht="15" hidden="false" customHeight="true" outlineLevel="0" collapsed="false">
      <c r="A5" s="5" t="s">
        <v>117</v>
      </c>
      <c r="B5" s="6" t="n">
        <v>0</v>
      </c>
      <c r="C5" s="16" t="n">
        <v>0</v>
      </c>
      <c r="D5" s="16" t="n">
        <v>0</v>
      </c>
      <c r="E5" s="17" t="n">
        <f aca="false">IFERROR(B5/$B$9,0)</f>
        <v>0</v>
      </c>
    </row>
    <row r="6" customFormat="false" ht="15" hidden="false" customHeight="true" outlineLevel="0" collapsed="false">
      <c r="A6" s="5" t="s">
        <v>118</v>
      </c>
      <c r="B6" s="6" t="n">
        <v>10310.8</v>
      </c>
      <c r="C6" s="16" t="n">
        <v>1983</v>
      </c>
      <c r="D6" s="16" t="n">
        <v>59265</v>
      </c>
      <c r="E6" s="17" t="n">
        <f aca="false">IFERROR(B6/$B$9,0)</f>
        <v>0.193686425156618</v>
      </c>
    </row>
    <row r="7" customFormat="false" ht="15" hidden="false" customHeight="true" outlineLevel="0" collapsed="false">
      <c r="A7" s="5" t="s">
        <v>119</v>
      </c>
      <c r="B7" s="6" t="n">
        <v>37980.8</v>
      </c>
      <c r="C7" s="16" t="n">
        <v>6426</v>
      </c>
      <c r="D7" s="16" t="n">
        <v>183690</v>
      </c>
      <c r="E7" s="17" t="n">
        <f aca="false">IFERROR(B7/$B$9,0)</f>
        <v>0.713462134518029</v>
      </c>
    </row>
    <row r="8" customFormat="false" ht="15" hidden="false" customHeight="true" outlineLevel="0" collapsed="false">
      <c r="A8" s="5" t="s">
        <v>120</v>
      </c>
      <c r="B8" s="6" t="n">
        <v>4942.9</v>
      </c>
      <c r="C8" s="16" t="n">
        <v>957</v>
      </c>
      <c r="D8" s="16" t="n">
        <v>31015</v>
      </c>
      <c r="E8" s="17" t="n">
        <f aca="false">IFERROR(B8/$B$9,0)</f>
        <v>0.0928514403253529</v>
      </c>
    </row>
    <row r="9" customFormat="false" ht="15" hidden="false" customHeight="true" outlineLevel="0" collapsed="false">
      <c r="A9" s="9" t="s">
        <v>44</v>
      </c>
      <c r="B9" s="10" t="n">
        <f aca="false">SUM(B5:B8)</f>
        <v>53234.5</v>
      </c>
      <c r="C9" s="18" t="n">
        <f aca="false">SUM(C5:C8)</f>
        <v>9366</v>
      </c>
      <c r="D9" s="18" t="n">
        <f aca="false">SUM(D5:D8)</f>
        <v>273970</v>
      </c>
      <c r="E9" s="19" t="n">
        <f aca="false">IFERROR(B9/B9,0)</f>
        <v>1</v>
      </c>
    </row>
    <row r="11" customFormat="false" ht="15" hidden="false" customHeight="true" outlineLevel="0" collapsed="false">
      <c r="A11" s="20" t="s">
        <v>121</v>
      </c>
      <c r="B11" s="20"/>
      <c r="C11" s="20"/>
      <c r="D11" s="20"/>
      <c r="E11" s="20"/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12"/>
  </cols>
  <sheetData>
    <row r="1" customFormat="false" ht="21.75" hidden="false" customHeight="true" outlineLevel="0" collapsed="false">
      <c r="A1" s="2" t="s">
        <v>122</v>
      </c>
      <c r="B1" s="2"/>
      <c r="C1" s="2"/>
      <c r="D1" s="2"/>
      <c r="E1" s="2"/>
    </row>
    <row r="2" customFormat="false" ht="15" hidden="false" customHeight="true" outlineLevel="0" collapsed="false">
      <c r="A2" s="3" t="s">
        <v>123</v>
      </c>
      <c r="B2" s="3"/>
      <c r="C2" s="3"/>
      <c r="D2" s="3"/>
      <c r="E2" s="3"/>
    </row>
    <row r="4" customFormat="false" ht="27.75" hidden="false" customHeight="true" outlineLevel="0" collapsed="false">
      <c r="A4" s="4" t="s">
        <v>33</v>
      </c>
      <c r="B4" s="4" t="s">
        <v>3</v>
      </c>
      <c r="C4" s="4" t="s">
        <v>4</v>
      </c>
      <c r="D4" s="4" t="s">
        <v>103</v>
      </c>
      <c r="E4" s="4" t="s">
        <v>105</v>
      </c>
    </row>
    <row r="5" customFormat="false" ht="15" hidden="false" customHeight="true" outlineLevel="0" collapsed="false">
      <c r="A5" s="5" t="s">
        <v>124</v>
      </c>
      <c r="B5" s="6" t="n">
        <v>0</v>
      </c>
      <c r="C5" s="6" t="n">
        <v>0</v>
      </c>
      <c r="D5" s="16" t="n">
        <v>0</v>
      </c>
      <c r="E5" s="17" t="n">
        <f aca="false">IFERROR(B5/$B$12,0)</f>
        <v>0</v>
      </c>
    </row>
    <row r="6" customFormat="false" ht="15" hidden="false" customHeight="true" outlineLevel="0" collapsed="false">
      <c r="A6" s="5" t="s">
        <v>125</v>
      </c>
      <c r="B6" s="6" t="n">
        <v>1369.2</v>
      </c>
      <c r="C6" s="6" t="n">
        <v>0</v>
      </c>
      <c r="D6" s="16" t="n">
        <v>24</v>
      </c>
      <c r="E6" s="17" t="n">
        <f aca="false">IFERROR(B6/$B$12,0)</f>
        <v>1</v>
      </c>
    </row>
    <row r="7" customFormat="false" ht="15" hidden="false" customHeight="true" outlineLevel="0" collapsed="false">
      <c r="A7" s="5" t="s">
        <v>126</v>
      </c>
      <c r="B7" s="6" t="n">
        <v>0</v>
      </c>
      <c r="C7" s="6" t="n">
        <v>0</v>
      </c>
      <c r="D7" s="16" t="n">
        <v>0</v>
      </c>
      <c r="E7" s="17" t="n">
        <f aca="false">IFERROR(B7/$B$12,0)</f>
        <v>0</v>
      </c>
    </row>
    <row r="8" customFormat="false" ht="15" hidden="false" customHeight="true" outlineLevel="0" collapsed="false">
      <c r="A8" s="5" t="s">
        <v>127</v>
      </c>
      <c r="B8" s="6" t="n">
        <v>0</v>
      </c>
      <c r="C8" s="6" t="n">
        <v>0</v>
      </c>
      <c r="D8" s="16" t="n">
        <v>0</v>
      </c>
      <c r="E8" s="17" t="n">
        <f aca="false">IFERROR(B8/$B$12,0)</f>
        <v>0</v>
      </c>
    </row>
    <row r="9" customFormat="false" ht="15" hidden="false" customHeight="true" outlineLevel="0" collapsed="false">
      <c r="A9" s="5" t="s">
        <v>128</v>
      </c>
      <c r="B9" s="6" t="n">
        <v>0</v>
      </c>
      <c r="C9" s="6" t="n">
        <v>0</v>
      </c>
      <c r="D9" s="16" t="n">
        <v>0</v>
      </c>
      <c r="E9" s="17" t="n">
        <f aca="false">IFERROR(B9/$B$12,0)</f>
        <v>0</v>
      </c>
    </row>
    <row r="10" customFormat="false" ht="15" hidden="false" customHeight="true" outlineLevel="0" collapsed="false">
      <c r="A10" s="5" t="s">
        <v>129</v>
      </c>
      <c r="B10" s="6" t="n">
        <v>0</v>
      </c>
      <c r="C10" s="6" t="n">
        <v>0</v>
      </c>
      <c r="D10" s="16" t="n">
        <v>0</v>
      </c>
      <c r="E10" s="17" t="n">
        <f aca="false">IFERROR(B10/$B$12,0)</f>
        <v>0</v>
      </c>
    </row>
    <row r="11" customFormat="false" ht="15" hidden="false" customHeight="true" outlineLevel="0" collapsed="false">
      <c r="A11" s="5" t="s">
        <v>130</v>
      </c>
      <c r="B11" s="6" t="n">
        <v>0</v>
      </c>
      <c r="C11" s="6" t="n">
        <v>0</v>
      </c>
      <c r="D11" s="16" t="n">
        <v>0</v>
      </c>
      <c r="E11" s="17" t="n">
        <f aca="false">IFERROR(B11/$B$12,0)</f>
        <v>0</v>
      </c>
    </row>
    <row r="12" customFormat="false" ht="15" hidden="false" customHeight="true" outlineLevel="0" collapsed="false">
      <c r="A12" s="9" t="s">
        <v>44</v>
      </c>
      <c r="B12" s="10" t="n">
        <f aca="false">SUM(B5:B11)</f>
        <v>1369.2</v>
      </c>
      <c r="C12" s="10" t="n">
        <f aca="false">SUM(C5:C11)</f>
        <v>0</v>
      </c>
      <c r="D12" s="18" t="n">
        <f aca="false">SUM(D5:D11)</f>
        <v>24</v>
      </c>
      <c r="E12" s="19" t="n">
        <f aca="false">IFERROR(B12/B12,0)</f>
        <v>1</v>
      </c>
    </row>
    <row r="14" customFormat="false" ht="15" hidden="false" customHeight="true" outlineLevel="0" collapsed="false">
      <c r="A14" s="20" t="s">
        <v>131</v>
      </c>
      <c r="B14" s="20"/>
      <c r="C14" s="20"/>
      <c r="D14" s="20"/>
      <c r="E14" s="20"/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21.75" hidden="false" customHeight="true" outlineLevel="0" collapsed="false">
      <c r="A1" s="2" t="s">
        <v>132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0" t="s">
        <v>133</v>
      </c>
      <c r="B2" s="30"/>
      <c r="C2" s="30"/>
      <c r="D2" s="30"/>
      <c r="E2" s="30"/>
      <c r="F2" s="30"/>
    </row>
    <row r="4" customFormat="false" ht="27.75" hidden="false" customHeight="true" outlineLevel="0" collapsed="false">
      <c r="A4" s="4" t="s">
        <v>33</v>
      </c>
      <c r="B4" s="4" t="s">
        <v>3</v>
      </c>
      <c r="C4" s="4" t="s">
        <v>34</v>
      </c>
      <c r="D4" s="4" t="s">
        <v>134</v>
      </c>
      <c r="E4" s="4" t="s">
        <v>135</v>
      </c>
      <c r="F4" s="4" t="s">
        <v>35</v>
      </c>
    </row>
    <row r="5" customFormat="false" ht="15" hidden="false" customHeight="false" outlineLevel="0" collapsed="false">
      <c r="A5" s="5" t="s">
        <v>136</v>
      </c>
      <c r="B5" s="31" t="n">
        <v>737.7</v>
      </c>
      <c r="C5" s="32" t="n">
        <v>332</v>
      </c>
      <c r="D5" s="32" t="n">
        <v>572</v>
      </c>
      <c r="E5" s="17" t="n">
        <f aca="false">IFERROR(C5/D5,0)</f>
        <v>0.58041958041958</v>
      </c>
      <c r="F5" s="31" t="n">
        <f aca="false">IFERROR(B5/C5,0)</f>
        <v>2.22198795180723</v>
      </c>
    </row>
    <row r="6" customFormat="false" ht="15" hidden="false" customHeight="false" outlineLevel="0" collapsed="false">
      <c r="A6" s="5" t="s">
        <v>137</v>
      </c>
      <c r="B6" s="31" t="n">
        <v>0</v>
      </c>
      <c r="C6" s="32" t="n">
        <v>0</v>
      </c>
      <c r="D6" s="32" t="n">
        <v>572</v>
      </c>
      <c r="E6" s="17" t="n">
        <f aca="false">IFERROR(C6/D6,0)</f>
        <v>0</v>
      </c>
      <c r="F6" s="31" t="n">
        <f aca="false">IFERROR(B6/C6,0)</f>
        <v>0</v>
      </c>
    </row>
    <row r="7" customFormat="false" ht="15" hidden="false" customHeight="false" outlineLevel="0" collapsed="false">
      <c r="A7" s="5" t="s">
        <v>138</v>
      </c>
      <c r="B7" s="31" t="n">
        <v>688.3</v>
      </c>
      <c r="C7" s="32" t="n">
        <v>225</v>
      </c>
      <c r="D7" s="32" t="n">
        <v>572</v>
      </c>
      <c r="E7" s="17" t="n">
        <f aca="false">IFERROR(C7/D7,0)</f>
        <v>0.393356643356643</v>
      </c>
      <c r="F7" s="31" t="n">
        <f aca="false">IFERROR(B7/C7,0)</f>
        <v>3.05911111111111</v>
      </c>
    </row>
    <row r="8" customFormat="false" ht="15" hidden="false" customHeight="false" outlineLevel="0" collapsed="false">
      <c r="A8" s="5" t="s">
        <v>139</v>
      </c>
      <c r="B8" s="31" t="n">
        <v>691.5</v>
      </c>
      <c r="C8" s="32" t="n">
        <v>292</v>
      </c>
      <c r="D8" s="32" t="n">
        <v>572</v>
      </c>
      <c r="E8" s="17" t="n">
        <f aca="false">IFERROR(C8/D8,0)</f>
        <v>0.510489510489511</v>
      </c>
      <c r="F8" s="31" t="n">
        <f aca="false">IFERROR(B8/C8,0)</f>
        <v>2.36815068493151</v>
      </c>
    </row>
    <row r="9" customFormat="false" ht="15" hidden="false" customHeight="false" outlineLevel="0" collapsed="false">
      <c r="A9" s="5" t="s">
        <v>140</v>
      </c>
      <c r="B9" s="31" t="n">
        <v>501</v>
      </c>
      <c r="C9" s="32" t="n">
        <v>259</v>
      </c>
      <c r="D9" s="32" t="n">
        <v>572</v>
      </c>
      <c r="E9" s="17" t="n">
        <f aca="false">IFERROR(C9/D9,0)</f>
        <v>0.452797202797203</v>
      </c>
      <c r="F9" s="31" t="n">
        <f aca="false">IFERROR(B9/C9,0)</f>
        <v>1.93436293436293</v>
      </c>
    </row>
    <row r="10" customFormat="false" ht="15" hidden="false" customHeight="false" outlineLevel="0" collapsed="false">
      <c r="A10" s="5" t="s">
        <v>141</v>
      </c>
      <c r="B10" s="31" t="n">
        <v>782.6</v>
      </c>
      <c r="C10" s="32" t="n">
        <v>322</v>
      </c>
      <c r="D10" s="32" t="n">
        <v>572</v>
      </c>
      <c r="E10" s="17" t="n">
        <f aca="false">IFERROR(C10/D10,0)</f>
        <v>0.562937062937063</v>
      </c>
      <c r="F10" s="31" t="n">
        <f aca="false">IFERROR(B10/C10,0)</f>
        <v>2.4304347826087</v>
      </c>
    </row>
    <row r="11" customFormat="false" ht="15" hidden="false" customHeight="false" outlineLevel="0" collapsed="false">
      <c r="A11" s="5" t="s">
        <v>142</v>
      </c>
      <c r="B11" s="31" t="n">
        <v>83.7</v>
      </c>
      <c r="C11" s="32" t="n">
        <v>37</v>
      </c>
      <c r="D11" s="32" t="n">
        <v>572</v>
      </c>
      <c r="E11" s="17" t="n">
        <f aca="false">IFERROR(C11/D11,0)</f>
        <v>0.0646853146853147</v>
      </c>
      <c r="F11" s="31" t="n">
        <f aca="false">IFERROR(B11/C11,0)</f>
        <v>2.26216216216216</v>
      </c>
    </row>
    <row r="12" customFormat="false" ht="15" hidden="false" customHeight="false" outlineLevel="0" collapsed="false">
      <c r="A12" s="5" t="s">
        <v>143</v>
      </c>
      <c r="B12" s="31" t="n">
        <v>1563</v>
      </c>
      <c r="C12" s="32" t="n">
        <v>389</v>
      </c>
      <c r="D12" s="32" t="n">
        <v>572</v>
      </c>
      <c r="E12" s="17" t="n">
        <f aca="false">IFERROR(C12/D12,0)</f>
        <v>0.68006993006993</v>
      </c>
      <c r="F12" s="31" t="n">
        <f aca="false">IFERROR(B12/C12,0)</f>
        <v>4.01799485861183</v>
      </c>
    </row>
    <row r="13" customFormat="false" ht="15" hidden="false" customHeight="false" outlineLevel="0" collapsed="false">
      <c r="A13" s="5" t="s">
        <v>144</v>
      </c>
      <c r="B13" s="31" t="n">
        <v>2485.3</v>
      </c>
      <c r="C13" s="32" t="n">
        <v>600</v>
      </c>
      <c r="D13" s="32" t="n">
        <v>572</v>
      </c>
      <c r="E13" s="17" t="n">
        <f aca="false">IFERROR(C13/D13,0)</f>
        <v>1.04895104895105</v>
      </c>
      <c r="F13" s="31" t="n">
        <f aca="false">IFERROR(B13/C13,0)</f>
        <v>4.14216666666667</v>
      </c>
    </row>
    <row r="14" customFormat="false" ht="15" hidden="false" customHeight="false" outlineLevel="0" collapsed="false">
      <c r="A14" s="5" t="s">
        <v>145</v>
      </c>
      <c r="B14" s="31" t="n">
        <v>537.2</v>
      </c>
      <c r="C14" s="32" t="n">
        <v>235</v>
      </c>
      <c r="D14" s="32" t="n">
        <v>572</v>
      </c>
      <c r="E14" s="17" t="n">
        <f aca="false">IFERROR(C14/D14,0)</f>
        <v>0.410839160839161</v>
      </c>
      <c r="F14" s="31" t="n">
        <f aca="false">IFERROR(B14/C14,0)</f>
        <v>2.28595744680851</v>
      </c>
    </row>
    <row r="15" customFormat="false" ht="15" hidden="false" customHeight="false" outlineLevel="0" collapsed="false">
      <c r="A15" s="5" t="s">
        <v>146</v>
      </c>
      <c r="B15" s="31" t="n">
        <v>1972.1</v>
      </c>
      <c r="C15" s="32" t="n">
        <v>431</v>
      </c>
      <c r="D15" s="32" t="n">
        <v>572</v>
      </c>
      <c r="E15" s="17" t="n">
        <f aca="false">IFERROR(C15/D15,0)</f>
        <v>0.753496503496504</v>
      </c>
      <c r="F15" s="31" t="n">
        <f aca="false">IFERROR(B15/C15,0)</f>
        <v>4.57563805104408</v>
      </c>
    </row>
    <row r="16" customFormat="false" ht="15" hidden="false" customHeight="false" outlineLevel="0" collapsed="false">
      <c r="A16" s="5" t="s">
        <v>147</v>
      </c>
      <c r="B16" s="31" t="n">
        <v>933.4</v>
      </c>
      <c r="C16" s="32" t="n">
        <v>269</v>
      </c>
      <c r="D16" s="32" t="n">
        <v>572</v>
      </c>
      <c r="E16" s="17" t="n">
        <f aca="false">IFERROR(C16/D16,0)</f>
        <v>0.47027972027972</v>
      </c>
      <c r="F16" s="31" t="n">
        <f aca="false">IFERROR(B16/C16,0)</f>
        <v>3.46988847583643</v>
      </c>
    </row>
    <row r="17" customFormat="false" ht="15" hidden="false" customHeight="false" outlineLevel="0" collapsed="false">
      <c r="A17" s="5" t="s">
        <v>148</v>
      </c>
      <c r="B17" s="31" t="n">
        <v>1202.5</v>
      </c>
      <c r="C17" s="32" t="n">
        <v>288</v>
      </c>
      <c r="D17" s="32" t="n">
        <v>572</v>
      </c>
      <c r="E17" s="17" t="n">
        <f aca="false">IFERROR(C17/D17,0)</f>
        <v>0.503496503496504</v>
      </c>
      <c r="F17" s="31" t="n">
        <f aca="false">IFERROR(B17/C17,0)</f>
        <v>4.17534722222222</v>
      </c>
    </row>
    <row r="18" customFormat="false" ht="15" hidden="false" customHeight="false" outlineLevel="0" collapsed="false">
      <c r="A18" s="5" t="s">
        <v>149</v>
      </c>
      <c r="B18" s="31" t="n">
        <v>904.8</v>
      </c>
      <c r="C18" s="32" t="n">
        <v>251</v>
      </c>
      <c r="D18" s="32" t="n">
        <v>572</v>
      </c>
      <c r="E18" s="17" t="n">
        <f aca="false">IFERROR(C18/D18,0)</f>
        <v>0.438811188811189</v>
      </c>
      <c r="F18" s="31" t="n">
        <f aca="false">IFERROR(B18/C18,0)</f>
        <v>3.60478087649402</v>
      </c>
    </row>
    <row r="19" customFormat="false" ht="15" hidden="false" customHeight="false" outlineLevel="0" collapsed="false">
      <c r="A19" s="5" t="s">
        <v>150</v>
      </c>
      <c r="B19" s="31" t="n">
        <v>1911.2</v>
      </c>
      <c r="C19" s="32" t="n">
        <v>399</v>
      </c>
      <c r="D19" s="32" t="n">
        <v>572</v>
      </c>
      <c r="E19" s="17" t="n">
        <f aca="false">IFERROR(C19/D19,0)</f>
        <v>0.697552447552448</v>
      </c>
      <c r="F19" s="31" t="n">
        <f aca="false">IFERROR(B19/C19,0)</f>
        <v>4.78997493734336</v>
      </c>
    </row>
    <row r="20" customFormat="false" ht="15" hidden="false" customHeight="false" outlineLevel="0" collapsed="false">
      <c r="A20" s="5" t="s">
        <v>151</v>
      </c>
      <c r="B20" s="31" t="n">
        <v>1921.1</v>
      </c>
      <c r="C20" s="32" t="n">
        <v>340</v>
      </c>
      <c r="D20" s="32" t="n">
        <v>572</v>
      </c>
      <c r="E20" s="17" t="n">
        <f aca="false">IFERROR(C20/D20,0)</f>
        <v>0.594405594405594</v>
      </c>
      <c r="F20" s="31" t="n">
        <f aca="false">IFERROR(B20/C20,0)</f>
        <v>5.65029411764706</v>
      </c>
    </row>
    <row r="21" customFormat="false" ht="15" hidden="false" customHeight="false" outlineLevel="0" collapsed="false">
      <c r="A21" s="5" t="s">
        <v>152</v>
      </c>
      <c r="B21" s="31" t="n">
        <v>0</v>
      </c>
      <c r="C21" s="32" t="n">
        <v>0</v>
      </c>
      <c r="D21" s="32" t="n">
        <v>572</v>
      </c>
      <c r="E21" s="17" t="n">
        <f aca="false">IFERROR(C21/D21,0)</f>
        <v>0</v>
      </c>
      <c r="F21" s="31" t="n">
        <f aca="false">IFERROR(B21/C21,0)</f>
        <v>0</v>
      </c>
    </row>
    <row r="22" customFormat="false" ht="15" hidden="false" customHeight="false" outlineLevel="0" collapsed="false">
      <c r="A22" s="5" t="s">
        <v>153</v>
      </c>
      <c r="B22" s="31" t="n">
        <v>3294.1</v>
      </c>
      <c r="C22" s="32" t="n">
        <v>391</v>
      </c>
      <c r="D22" s="32" t="n">
        <v>572</v>
      </c>
      <c r="E22" s="17" t="n">
        <f aca="false">IFERROR(C22/D22,0)</f>
        <v>0.683566433566434</v>
      </c>
      <c r="F22" s="31" t="n">
        <f aca="false">IFERROR(B22/C22,0)</f>
        <v>8.42480818414322</v>
      </c>
    </row>
    <row r="23" customFormat="false" ht="15" hidden="false" customHeight="false" outlineLevel="0" collapsed="false">
      <c r="A23" s="5" t="s">
        <v>154</v>
      </c>
      <c r="B23" s="31" t="n">
        <v>1603.1</v>
      </c>
      <c r="C23" s="32" t="n">
        <v>410</v>
      </c>
      <c r="D23" s="32" t="n">
        <v>572</v>
      </c>
      <c r="E23" s="17" t="n">
        <f aca="false">IFERROR(C23/D23,0)</f>
        <v>0.716783216783217</v>
      </c>
      <c r="F23" s="31" t="n">
        <f aca="false">IFERROR(B23/C23,0)</f>
        <v>3.91</v>
      </c>
    </row>
    <row r="24" customFormat="false" ht="15" hidden="false" customHeight="false" outlineLevel="0" collapsed="false">
      <c r="A24" s="5" t="s">
        <v>155</v>
      </c>
      <c r="B24" s="31" t="n">
        <v>1722.7</v>
      </c>
      <c r="C24" s="32" t="n">
        <v>297</v>
      </c>
      <c r="D24" s="32" t="n">
        <v>572</v>
      </c>
      <c r="E24" s="17" t="n">
        <f aca="false">IFERROR(C24/D24,0)</f>
        <v>0.519230769230769</v>
      </c>
      <c r="F24" s="31" t="n">
        <f aca="false">IFERROR(B24/C24,0)</f>
        <v>5.8003367003367</v>
      </c>
    </row>
    <row r="25" customFormat="false" ht="15" hidden="false" customHeight="false" outlineLevel="0" collapsed="false">
      <c r="A25" s="5" t="s">
        <v>156</v>
      </c>
      <c r="B25" s="31" t="n">
        <v>2462.8</v>
      </c>
      <c r="C25" s="32" t="n">
        <v>411</v>
      </c>
      <c r="D25" s="32" t="n">
        <v>572</v>
      </c>
      <c r="E25" s="17" t="n">
        <f aca="false">IFERROR(C25/D25,0)</f>
        <v>0.718531468531469</v>
      </c>
      <c r="F25" s="31" t="n">
        <f aca="false">IFERROR(B25/C25,0)</f>
        <v>5.99221411192214</v>
      </c>
    </row>
    <row r="26" customFormat="false" ht="15" hidden="false" customHeight="false" outlineLevel="0" collapsed="false">
      <c r="A26" s="5" t="s">
        <v>157</v>
      </c>
      <c r="B26" s="31" t="n">
        <v>2525.2</v>
      </c>
      <c r="C26" s="32" t="n">
        <v>223</v>
      </c>
      <c r="D26" s="32" t="n">
        <v>572</v>
      </c>
      <c r="E26" s="17" t="n">
        <f aca="false">IFERROR(C26/D26,0)</f>
        <v>0.38986013986014</v>
      </c>
      <c r="F26" s="31" t="n">
        <f aca="false">IFERROR(B26/C26,0)</f>
        <v>11.3237668161435</v>
      </c>
    </row>
    <row r="27" customFormat="false" ht="15" hidden="false" customHeight="false" outlineLevel="0" collapsed="false">
      <c r="A27" s="5" t="s">
        <v>158</v>
      </c>
      <c r="B27" s="31" t="n">
        <v>3582</v>
      </c>
      <c r="C27" s="32" t="n">
        <v>359</v>
      </c>
      <c r="D27" s="32" t="n">
        <v>572</v>
      </c>
      <c r="E27" s="17" t="n">
        <f aca="false">IFERROR(C27/D27,0)</f>
        <v>0.627622377622378</v>
      </c>
      <c r="F27" s="31" t="n">
        <f aca="false">IFERROR(B27/C27,0)</f>
        <v>9.97771587743733</v>
      </c>
    </row>
    <row r="28" customFormat="false" ht="15" hidden="false" customHeight="false" outlineLevel="0" collapsed="false">
      <c r="A28" s="5" t="s">
        <v>159</v>
      </c>
      <c r="B28" s="31" t="n">
        <v>3343.2</v>
      </c>
      <c r="C28" s="32" t="n">
        <v>308</v>
      </c>
      <c r="D28" s="32" t="n">
        <v>572</v>
      </c>
      <c r="E28" s="17" t="n">
        <f aca="false">IFERROR(C28/D28,0)</f>
        <v>0.538461538461538</v>
      </c>
      <c r="F28" s="31" t="n">
        <f aca="false">IFERROR(B28/C28,0)</f>
        <v>10.8545454545455</v>
      </c>
    </row>
    <row r="29" customFormat="false" ht="15" hidden="false" customHeight="false" outlineLevel="0" collapsed="false">
      <c r="A29" s="5" t="s">
        <v>160</v>
      </c>
      <c r="B29" s="31" t="n">
        <v>2728.4</v>
      </c>
      <c r="C29" s="32" t="n">
        <v>312</v>
      </c>
      <c r="D29" s="32" t="n">
        <v>572</v>
      </c>
      <c r="E29" s="17" t="n">
        <f aca="false">IFERROR(C29/D29,0)</f>
        <v>0.545454545454545</v>
      </c>
      <c r="F29" s="31" t="n">
        <f aca="false">IFERROR(B29/C29,0)</f>
        <v>8.7448717948718</v>
      </c>
    </row>
    <row r="30" customFormat="false" ht="15" hidden="false" customHeight="false" outlineLevel="0" collapsed="false">
      <c r="A30" s="5" t="s">
        <v>161</v>
      </c>
      <c r="B30" s="31" t="n">
        <v>5021.8</v>
      </c>
      <c r="C30" s="32" t="n">
        <v>574</v>
      </c>
      <c r="D30" s="32" t="n">
        <v>572</v>
      </c>
      <c r="E30" s="17" t="n">
        <f aca="false">IFERROR(C30/D30,0)</f>
        <v>1.0034965034965</v>
      </c>
      <c r="F30" s="31" t="n">
        <f aca="false">IFERROR(B30/C30,0)</f>
        <v>8.74878048780488</v>
      </c>
    </row>
    <row r="31" customFormat="false" ht="15" hidden="false" customHeight="false" outlineLevel="0" collapsed="false">
      <c r="A31" s="5" t="s">
        <v>162</v>
      </c>
      <c r="B31" s="31" t="n">
        <v>4235.8</v>
      </c>
      <c r="C31" s="32" t="n">
        <v>321</v>
      </c>
      <c r="D31" s="32" t="n">
        <v>572</v>
      </c>
      <c r="E31" s="17" t="n">
        <f aca="false">IFERROR(C31/D31,0)</f>
        <v>0.561188811188811</v>
      </c>
      <c r="F31" s="31" t="n">
        <f aca="false">IFERROR(B31/C31,0)</f>
        <v>13.1956386292835</v>
      </c>
    </row>
    <row r="32" customFormat="false" ht="15" hidden="false" customHeight="false" outlineLevel="0" collapsed="false">
      <c r="A32" s="5" t="s">
        <v>163</v>
      </c>
      <c r="B32" s="31" t="n">
        <v>825.1</v>
      </c>
      <c r="C32" s="32" t="n">
        <v>32</v>
      </c>
      <c r="D32" s="32" t="n">
        <v>572</v>
      </c>
      <c r="E32" s="17" t="n">
        <f aca="false">IFERROR(C32/D32,0)</f>
        <v>0.0559440559440559</v>
      </c>
      <c r="F32" s="31" t="n">
        <f aca="false">IFERROR(B32/C32,0)</f>
        <v>25.784375</v>
      </c>
    </row>
    <row r="33" customFormat="false" ht="15" hidden="false" customHeight="false" outlineLevel="0" collapsed="false">
      <c r="A33" s="5" t="s">
        <v>164</v>
      </c>
      <c r="B33" s="31" t="n">
        <v>4902.7</v>
      </c>
      <c r="C33" s="32" t="n">
        <v>268</v>
      </c>
      <c r="D33" s="32" t="n">
        <v>572</v>
      </c>
      <c r="E33" s="17" t="n">
        <f aca="false">IFERROR(C33/D33,0)</f>
        <v>0.468531468531469</v>
      </c>
      <c r="F33" s="31" t="n">
        <f aca="false">IFERROR(B33/C33,0)</f>
        <v>18.2936567164179</v>
      </c>
    </row>
    <row r="34" customFormat="false" ht="15" hidden="false" customHeight="false" outlineLevel="0" collapsed="false">
      <c r="A34" s="5" t="s">
        <v>165</v>
      </c>
      <c r="B34" s="31" t="n">
        <v>0</v>
      </c>
      <c r="C34" s="32" t="n">
        <v>0</v>
      </c>
      <c r="D34" s="32" t="n">
        <v>572</v>
      </c>
      <c r="E34" s="17" t="n">
        <f aca="false">IFERROR(C34/D34,0)</f>
        <v>0</v>
      </c>
      <c r="F34" s="31" t="n">
        <f aca="false">IFERROR(B34/C34,0)</f>
        <v>0</v>
      </c>
    </row>
    <row r="35" customFormat="false" ht="15" hidden="false" customHeight="false" outlineLevel="0" collapsed="false">
      <c r="A35" s="5" t="s">
        <v>166</v>
      </c>
      <c r="B35" s="31" t="n">
        <v>6331.3</v>
      </c>
      <c r="C35" s="32" t="n">
        <v>205</v>
      </c>
      <c r="D35" s="32" t="n">
        <v>572</v>
      </c>
      <c r="E35" s="17" t="n">
        <f aca="false">IFERROR(C35/D35,0)</f>
        <v>0.358391608391608</v>
      </c>
      <c r="F35" s="31" t="n">
        <f aca="false">IFERROR(B35/C35,0)</f>
        <v>30.8843902439024</v>
      </c>
    </row>
    <row r="36" customFormat="false" ht="15" hidden="false" customHeight="false" outlineLevel="0" collapsed="false">
      <c r="A36" s="5" t="s">
        <v>167</v>
      </c>
      <c r="B36" s="31" t="n">
        <v>1262.3</v>
      </c>
      <c r="C36" s="32" t="n">
        <v>419</v>
      </c>
      <c r="D36" s="32" t="n">
        <v>572</v>
      </c>
      <c r="E36" s="17" t="n">
        <f aca="false">IFERROR(C36/D36,0)</f>
        <v>0.732517482517483</v>
      </c>
      <c r="F36" s="31" t="n">
        <f aca="false">IFERROR(B36/C36,0)</f>
        <v>3.0126491646778</v>
      </c>
    </row>
    <row r="37" customFormat="false" ht="15" hidden="false" customHeight="false" outlineLevel="0" collapsed="false">
      <c r="A37" s="5" t="s">
        <v>168</v>
      </c>
      <c r="B37" s="31" t="n">
        <v>1134.6</v>
      </c>
      <c r="C37" s="32" t="n">
        <v>505</v>
      </c>
      <c r="D37" s="32" t="n">
        <v>572</v>
      </c>
      <c r="E37" s="17" t="n">
        <f aca="false">IFERROR(C37/D37,0)</f>
        <v>0.882867132867133</v>
      </c>
      <c r="F37" s="31" t="n">
        <f aca="false">IFERROR(B37/C37,0)</f>
        <v>2.24673267326733</v>
      </c>
    </row>
    <row r="38" customFormat="false" ht="15" hidden="false" customHeight="false" outlineLevel="0" collapsed="false">
      <c r="A38" s="5" t="s">
        <v>169</v>
      </c>
      <c r="B38" s="31" t="n">
        <v>1467.8</v>
      </c>
      <c r="C38" s="32" t="n">
        <v>310</v>
      </c>
      <c r="D38" s="32" t="n">
        <v>572</v>
      </c>
      <c r="E38" s="17" t="n">
        <f aca="false">IFERROR(C38/D38,0)</f>
        <v>0.541958041958042</v>
      </c>
      <c r="F38" s="31" t="n">
        <f aca="false">IFERROR(B38/C38,0)</f>
        <v>4.73483870967742</v>
      </c>
    </row>
    <row r="39" customFormat="false" ht="15" hidden="false" customHeight="false" outlineLevel="0" collapsed="false">
      <c r="A39" s="5" t="s">
        <v>170</v>
      </c>
      <c r="B39" s="31" t="n">
        <v>2231.4</v>
      </c>
      <c r="C39" s="32" t="n">
        <v>427</v>
      </c>
      <c r="D39" s="32" t="n">
        <v>572</v>
      </c>
      <c r="E39" s="17" t="n">
        <f aca="false">IFERROR(C39/D39,0)</f>
        <v>0.746503496503497</v>
      </c>
      <c r="F39" s="31" t="n">
        <f aca="false">IFERROR(B39/C39,0)</f>
        <v>5.22576112412178</v>
      </c>
    </row>
    <row r="40" customFormat="false" ht="15" hidden="false" customHeight="false" outlineLevel="0" collapsed="false">
      <c r="A40" s="5" t="s">
        <v>171</v>
      </c>
      <c r="B40" s="31" t="n">
        <v>1651.8</v>
      </c>
      <c r="C40" s="32" t="n">
        <v>392</v>
      </c>
      <c r="D40" s="32" t="n">
        <v>572</v>
      </c>
      <c r="E40" s="17" t="n">
        <f aca="false">IFERROR(C40/D40,0)</f>
        <v>0.685314685314685</v>
      </c>
      <c r="F40" s="31" t="n">
        <f aca="false">IFERROR(B40/C40,0)</f>
        <v>4.21377551020408</v>
      </c>
    </row>
    <row r="41" customFormat="false" ht="15" hidden="false" customHeight="false" outlineLevel="0" collapsed="false">
      <c r="A41" s="5" t="s">
        <v>172</v>
      </c>
      <c r="B41" s="31" t="n">
        <v>1572.5</v>
      </c>
      <c r="C41" s="32" t="n">
        <v>357</v>
      </c>
      <c r="D41" s="32" t="n">
        <v>572</v>
      </c>
      <c r="E41" s="17" t="n">
        <f aca="false">IFERROR(C41/D41,0)</f>
        <v>0.624125874125874</v>
      </c>
      <c r="F41" s="31" t="n">
        <f aca="false">IFERROR(B41/C41,0)</f>
        <v>4.40476190476191</v>
      </c>
    </row>
    <row r="42" customFormat="false" ht="15" hidden="false" customHeight="false" outlineLevel="0" collapsed="false">
      <c r="A42" s="5" t="s">
        <v>173</v>
      </c>
      <c r="B42" s="31" t="n">
        <v>2978.6</v>
      </c>
      <c r="C42" s="32" t="n">
        <v>376</v>
      </c>
      <c r="D42" s="32" t="n">
        <v>572</v>
      </c>
      <c r="E42" s="17" t="n">
        <f aca="false">IFERROR(C42/D42,0)</f>
        <v>0.657342657342657</v>
      </c>
      <c r="F42" s="31" t="n">
        <f aca="false">IFERROR(B42/C42,0)</f>
        <v>7.9218085106383</v>
      </c>
    </row>
    <row r="43" customFormat="false" ht="15" hidden="false" customHeight="false" outlineLevel="0" collapsed="false">
      <c r="A43" s="5" t="s">
        <v>174</v>
      </c>
      <c r="B43" s="31" t="n">
        <v>846.9</v>
      </c>
      <c r="C43" s="32" t="n">
        <v>266</v>
      </c>
      <c r="D43" s="32" t="n">
        <v>572</v>
      </c>
      <c r="E43" s="17" t="n">
        <f aca="false">IFERROR(C43/D43,0)</f>
        <v>0.465034965034965</v>
      </c>
      <c r="F43" s="31" t="n">
        <f aca="false">IFERROR(B43/C43,0)</f>
        <v>3.18383458646617</v>
      </c>
    </row>
    <row r="44" customFormat="false" ht="15" hidden="false" customHeight="false" outlineLevel="0" collapsed="false">
      <c r="A44" s="5" t="s">
        <v>175</v>
      </c>
      <c r="B44" s="31" t="n">
        <v>871.1</v>
      </c>
      <c r="C44" s="32" t="n">
        <v>234</v>
      </c>
      <c r="D44" s="32" t="n">
        <v>572</v>
      </c>
      <c r="E44" s="17" t="n">
        <f aca="false">IFERROR(C44/D44,0)</f>
        <v>0.409090909090909</v>
      </c>
      <c r="F44" s="31" t="n">
        <f aca="false">IFERROR(B44/C44,0)</f>
        <v>3.72264957264957</v>
      </c>
    </row>
    <row r="45" customFormat="false" ht="15" hidden="false" customHeight="false" outlineLevel="0" collapsed="false">
      <c r="A45" s="5" t="s">
        <v>176</v>
      </c>
      <c r="B45" s="31" t="n">
        <v>3001.7</v>
      </c>
      <c r="C45" s="32" t="n">
        <v>362</v>
      </c>
      <c r="D45" s="32" t="n">
        <v>572</v>
      </c>
      <c r="E45" s="17" t="n">
        <f aca="false">IFERROR(C45/D45,0)</f>
        <v>0.632867132867133</v>
      </c>
      <c r="F45" s="31" t="n">
        <f aca="false">IFERROR(B45/C45,0)</f>
        <v>8.29198895027624</v>
      </c>
    </row>
    <row r="46" customFormat="false" ht="15" hidden="false" customHeight="false" outlineLevel="0" collapsed="false">
      <c r="A46" s="5" t="s">
        <v>177</v>
      </c>
      <c r="B46" s="31" t="n">
        <v>1365.2</v>
      </c>
      <c r="C46" s="32" t="n">
        <v>290</v>
      </c>
      <c r="D46" s="32" t="n">
        <v>572</v>
      </c>
      <c r="E46" s="17" t="n">
        <f aca="false">IFERROR(C46/D46,0)</f>
        <v>0.506993006993007</v>
      </c>
      <c r="F46" s="31" t="n">
        <f aca="false">IFERROR(B46/C46,0)</f>
        <v>4.70758620689655</v>
      </c>
    </row>
    <row r="47" customFormat="false" ht="15" hidden="false" customHeight="false" outlineLevel="0" collapsed="false">
      <c r="A47" s="5" t="s">
        <v>178</v>
      </c>
      <c r="B47" s="31" t="n">
        <v>5450.1</v>
      </c>
      <c r="C47" s="32" t="n">
        <v>412</v>
      </c>
      <c r="D47" s="32" t="n">
        <v>572</v>
      </c>
      <c r="E47" s="17" t="n">
        <f aca="false">IFERROR(C47/D47,0)</f>
        <v>0.72027972027972</v>
      </c>
      <c r="F47" s="31" t="n">
        <f aca="false">IFERROR(B47/C47,0)</f>
        <v>13.2283980582524</v>
      </c>
    </row>
    <row r="48" customFormat="false" ht="15" hidden="false" customHeight="false" outlineLevel="0" collapsed="false">
      <c r="A48" s="5" t="s">
        <v>179</v>
      </c>
      <c r="B48" s="31" t="n">
        <v>4019.8</v>
      </c>
      <c r="C48" s="32" t="n">
        <v>364</v>
      </c>
      <c r="D48" s="32" t="n">
        <v>572</v>
      </c>
      <c r="E48" s="17" t="n">
        <f aca="false">IFERROR(C48/D48,0)</f>
        <v>0.636363636363636</v>
      </c>
      <c r="F48" s="31" t="n">
        <f aca="false">IFERROR(B48/C48,0)</f>
        <v>11.0434065934066</v>
      </c>
    </row>
    <row r="49" customFormat="false" ht="15" hidden="false" customHeight="false" outlineLevel="0" collapsed="false">
      <c r="A49" s="5" t="s">
        <v>180</v>
      </c>
      <c r="B49" s="31" t="n">
        <v>2691.9</v>
      </c>
      <c r="C49" s="32" t="n">
        <v>376</v>
      </c>
      <c r="D49" s="32" t="n">
        <v>572</v>
      </c>
      <c r="E49" s="17" t="n">
        <f aca="false">IFERROR(C49/D49,0)</f>
        <v>0.657342657342657</v>
      </c>
      <c r="F49" s="31" t="n">
        <f aca="false">IFERROR(B49/C49,0)</f>
        <v>7.1593085106383</v>
      </c>
    </row>
    <row r="50" customFormat="false" ht="15" hidden="false" customHeight="false" outlineLevel="0" collapsed="false">
      <c r="A50" s="5" t="s">
        <v>181</v>
      </c>
      <c r="B50" s="31" t="n">
        <v>2603.5</v>
      </c>
      <c r="C50" s="32" t="n">
        <v>376</v>
      </c>
      <c r="D50" s="32" t="n">
        <v>572</v>
      </c>
      <c r="E50" s="17" t="n">
        <f aca="false">IFERROR(C50/D50,0)</f>
        <v>0.657342657342657</v>
      </c>
      <c r="F50" s="31" t="n">
        <f aca="false">IFERROR(B50/C50,0)</f>
        <v>6.92420212765958</v>
      </c>
    </row>
    <row r="51" customFormat="false" ht="15" hidden="false" customHeight="false" outlineLevel="0" collapsed="false">
      <c r="A51" s="5" t="s">
        <v>182</v>
      </c>
      <c r="B51" s="31" t="n">
        <v>5158.7</v>
      </c>
      <c r="C51" s="32" t="n">
        <v>442</v>
      </c>
      <c r="D51" s="32" t="n">
        <v>572</v>
      </c>
      <c r="E51" s="17" t="n">
        <f aca="false">IFERROR(C51/D51,0)</f>
        <v>0.772727272727273</v>
      </c>
      <c r="F51" s="31" t="n">
        <f aca="false">IFERROR(B51/C51,0)</f>
        <v>11.6712669683258</v>
      </c>
    </row>
    <row r="52" customFormat="false" ht="15" hidden="false" customHeight="false" outlineLevel="0" collapsed="false">
      <c r="A52" s="5" t="s">
        <v>183</v>
      </c>
      <c r="B52" s="31" t="n">
        <v>3778.9</v>
      </c>
      <c r="C52" s="32" t="n">
        <v>474</v>
      </c>
      <c r="D52" s="32" t="n">
        <v>572</v>
      </c>
      <c r="E52" s="17" t="n">
        <f aca="false">IFERROR(C52/D52,0)</f>
        <v>0.828671328671329</v>
      </c>
      <c r="F52" s="31" t="n">
        <f aca="false">IFERROR(B52/C52,0)</f>
        <v>7.97236286919831</v>
      </c>
    </row>
    <row r="53" customFormat="false" ht="15" hidden="false" customHeight="false" outlineLevel="0" collapsed="false">
      <c r="A53" s="33" t="s">
        <v>184</v>
      </c>
      <c r="B53" s="34" t="n">
        <f aca="false">SUM(B5:B52)</f>
        <v>101580.4</v>
      </c>
      <c r="C53" s="35" t="n">
        <f aca="false">SUM(C5:C52)</f>
        <v>15162</v>
      </c>
      <c r="D53" s="35" t="n">
        <f aca="false">SUM(D5:D52)</f>
        <v>27456</v>
      </c>
      <c r="E53" s="36" t="n">
        <f aca="false">IFERROR(C53/D53,0)</f>
        <v>0.552229020979021</v>
      </c>
      <c r="F53" s="34" t="n">
        <f aca="false">IFERROR(B53/C53,0)</f>
        <v>6.69967022820208</v>
      </c>
    </row>
    <row r="54" customFormat="false" ht="15" hidden="false" customHeight="false" outlineLevel="0" collapsed="false">
      <c r="A54" s="5" t="s">
        <v>185</v>
      </c>
      <c r="B54" s="31" t="n">
        <v>4367.3</v>
      </c>
      <c r="C54" s="32" t="n">
        <v>274</v>
      </c>
      <c r="D54" s="32" t="n">
        <v>572</v>
      </c>
      <c r="E54" s="17" t="n">
        <f aca="false">IFERROR(C54/D54,0)</f>
        <v>0.479020979020979</v>
      </c>
      <c r="F54" s="31" t="n">
        <f aca="false">IFERROR(B54/C54,0)</f>
        <v>15.9390510948905</v>
      </c>
    </row>
    <row r="55" customFormat="false" ht="15" hidden="false" customHeight="false" outlineLevel="0" collapsed="false">
      <c r="A55" s="5" t="s">
        <v>186</v>
      </c>
      <c r="B55" s="31" t="n">
        <v>1581.7</v>
      </c>
      <c r="C55" s="32" t="n">
        <v>384</v>
      </c>
      <c r="D55" s="32" t="n">
        <v>572</v>
      </c>
      <c r="E55" s="17" t="n">
        <f aca="false">IFERROR(C55/D55,0)</f>
        <v>0.671328671328671</v>
      </c>
      <c r="F55" s="31" t="n">
        <f aca="false">IFERROR(B55/C55,0)</f>
        <v>4.11901041666667</v>
      </c>
    </row>
    <row r="56" customFormat="false" ht="15" hidden="false" customHeight="false" outlineLevel="0" collapsed="false">
      <c r="A56" s="5" t="s">
        <v>187</v>
      </c>
      <c r="B56" s="31" t="n">
        <v>1126.8</v>
      </c>
      <c r="C56" s="32" t="n">
        <v>221</v>
      </c>
      <c r="D56" s="32" t="n">
        <v>572</v>
      </c>
      <c r="E56" s="17" t="n">
        <f aca="false">IFERROR(C56/D56,0)</f>
        <v>0.386363636363636</v>
      </c>
      <c r="F56" s="31" t="n">
        <f aca="false">IFERROR(B56/C56,0)</f>
        <v>5.09864253393665</v>
      </c>
    </row>
    <row r="57" customFormat="false" ht="15" hidden="false" customHeight="false" outlineLevel="0" collapsed="false">
      <c r="A57" s="5" t="s">
        <v>188</v>
      </c>
      <c r="B57" s="31" t="n">
        <v>3335.8</v>
      </c>
      <c r="C57" s="32" t="n">
        <v>392</v>
      </c>
      <c r="D57" s="32" t="n">
        <v>572</v>
      </c>
      <c r="E57" s="17" t="n">
        <f aca="false">IFERROR(C57/D57,0)</f>
        <v>0.685314685314685</v>
      </c>
      <c r="F57" s="31" t="n">
        <f aca="false">IFERROR(B57/C57,0)</f>
        <v>8.50969387755102</v>
      </c>
    </row>
    <row r="58" customFormat="false" ht="15" hidden="false" customHeight="false" outlineLevel="0" collapsed="false">
      <c r="A58" s="33" t="s">
        <v>189</v>
      </c>
      <c r="B58" s="34" t="n">
        <f aca="false">SUM(B54:B57)</f>
        <v>10411.6</v>
      </c>
      <c r="C58" s="35" t="n">
        <f aca="false">SUM(C54:C57)</f>
        <v>1271</v>
      </c>
      <c r="D58" s="35" t="n">
        <f aca="false">SUM(D54:D57)</f>
        <v>2288</v>
      </c>
      <c r="E58" s="36" t="n">
        <f aca="false">IFERROR(C58/D58,0)</f>
        <v>0.555506993006993</v>
      </c>
      <c r="F58" s="34" t="n">
        <f aca="false">IFERROR(B58/C58,0)</f>
        <v>8.19166011014949</v>
      </c>
    </row>
    <row r="59" customFormat="false" ht="15" hidden="false" customHeight="false" outlineLevel="0" collapsed="false">
      <c r="A59" s="9" t="s">
        <v>190</v>
      </c>
      <c r="B59" s="37" t="n">
        <f aca="false">B53+B58</f>
        <v>111992</v>
      </c>
      <c r="C59" s="38" t="n">
        <f aca="false">C53+C58</f>
        <v>16433</v>
      </c>
      <c r="D59" s="38" t="n">
        <f aca="false">D53+D58</f>
        <v>29744</v>
      </c>
      <c r="E59" s="19" t="n">
        <f aca="false">IFERROR(C59/D59,0)</f>
        <v>0.55248117267348</v>
      </c>
      <c r="F59" s="37" t="n">
        <f aca="false">IFERROR(B59/C59,0)</f>
        <v>6.81506724274326</v>
      </c>
    </row>
    <row r="61" customFormat="false" ht="15" hidden="false" customHeight="false" outlineLevel="0" collapsed="false">
      <c r="A61" s="39" t="s">
        <v>191</v>
      </c>
      <c r="B61" s="39"/>
      <c r="C61" s="39"/>
      <c r="D61" s="39"/>
      <c r="E61" s="39"/>
      <c r="F61" s="39"/>
    </row>
    <row r="62" customFormat="false" ht="15" hidden="false" customHeight="false" outlineLevel="0" collapsed="false">
      <c r="A62" s="39" t="s">
        <v>192</v>
      </c>
      <c r="B62" s="39"/>
      <c r="C62" s="39"/>
      <c r="D62" s="39"/>
      <c r="E62" s="39"/>
      <c r="F62" s="39"/>
    </row>
  </sheetData>
  <mergeCells count="4">
    <mergeCell ref="A1:F1"/>
    <mergeCell ref="A2:F2"/>
    <mergeCell ref="A61:F61"/>
    <mergeCell ref="A62:F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21.75" hidden="false" customHeight="true" outlineLevel="0" collapsed="false">
      <c r="A1" s="2" t="s">
        <v>193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0" t="s">
        <v>194</v>
      </c>
      <c r="B2" s="30"/>
      <c r="C2" s="30"/>
      <c r="D2" s="30"/>
      <c r="E2" s="30"/>
      <c r="F2" s="30"/>
    </row>
    <row r="4" customFormat="false" ht="27.75" hidden="false" customHeight="true" outlineLevel="0" collapsed="false">
      <c r="A4" s="4" t="s">
        <v>91</v>
      </c>
      <c r="B4" s="4" t="s">
        <v>195</v>
      </c>
      <c r="C4" s="4" t="s">
        <v>3</v>
      </c>
      <c r="D4" s="4" t="s">
        <v>34</v>
      </c>
      <c r="E4" s="4" t="s">
        <v>135</v>
      </c>
      <c r="F4" s="4" t="s">
        <v>35</v>
      </c>
    </row>
    <row r="5" customFormat="false" ht="15" hidden="false" customHeight="false" outlineLevel="0" collapsed="false">
      <c r="A5" s="5" t="s">
        <v>196</v>
      </c>
      <c r="B5" s="32" t="n">
        <v>8</v>
      </c>
      <c r="C5" s="31" t="n">
        <v>5798</v>
      </c>
      <c r="D5" s="32" t="n">
        <v>2354</v>
      </c>
      <c r="E5" s="17" t="n">
        <f aca="false">IFERROR(D5/4576,0)</f>
        <v>0.514423076923077</v>
      </c>
      <c r="F5" s="31" t="n">
        <f aca="false">IFERROR(C5/D5,0)</f>
        <v>2.46304163126593</v>
      </c>
    </row>
    <row r="6" customFormat="false" ht="15" hidden="false" customHeight="false" outlineLevel="0" collapsed="false">
      <c r="A6" s="5" t="s">
        <v>197</v>
      </c>
      <c r="B6" s="32" t="n">
        <v>9</v>
      </c>
      <c r="C6" s="31" t="n">
        <v>14881</v>
      </c>
      <c r="D6" s="32" t="n">
        <v>3154</v>
      </c>
      <c r="E6" s="17" t="n">
        <f aca="false">IFERROR(D6/5148,0)</f>
        <v>0.612665112665113</v>
      </c>
      <c r="F6" s="31" t="n">
        <f aca="false">IFERROR(C6/D6,0)</f>
        <v>4.71813570069753</v>
      </c>
    </row>
    <row r="7" customFormat="false" ht="15" hidden="false" customHeight="false" outlineLevel="0" collapsed="false">
      <c r="A7" s="5" t="s">
        <v>198</v>
      </c>
      <c r="B7" s="32" t="n">
        <v>2</v>
      </c>
      <c r="C7" s="31" t="n">
        <v>2509.3</v>
      </c>
      <c r="D7" s="32" t="n">
        <v>666</v>
      </c>
      <c r="E7" s="17" t="n">
        <f aca="false">IFERROR(D7/1144,0)</f>
        <v>0.582167832167832</v>
      </c>
      <c r="F7" s="31" t="n">
        <f aca="false">IFERROR(C7/D7,0)</f>
        <v>3.76771771771772</v>
      </c>
    </row>
    <row r="8" customFormat="false" ht="15" hidden="false" customHeight="false" outlineLevel="0" collapsed="false">
      <c r="A8" s="5" t="s">
        <v>199</v>
      </c>
      <c r="B8" s="32" t="n">
        <v>1</v>
      </c>
      <c r="C8" s="31" t="n">
        <v>0</v>
      </c>
      <c r="D8" s="32" t="n">
        <v>0</v>
      </c>
      <c r="E8" s="17" t="n">
        <f aca="false">IFERROR(D8/572,0)</f>
        <v>0</v>
      </c>
      <c r="F8" s="31" t="n">
        <f aca="false">IFERROR(C8/D8,0)</f>
        <v>0</v>
      </c>
    </row>
    <row r="9" customFormat="false" ht="15" hidden="false" customHeight="false" outlineLevel="0" collapsed="false">
      <c r="A9" s="5" t="s">
        <v>93</v>
      </c>
      <c r="B9" s="32" t="n">
        <v>8</v>
      </c>
      <c r="C9" s="31" t="n">
        <v>11770.1</v>
      </c>
      <c r="D9" s="32" t="n">
        <v>2348</v>
      </c>
      <c r="E9" s="17" t="n">
        <f aca="false">IFERROR(D9/4576,0)</f>
        <v>0.513111888111888</v>
      </c>
      <c r="F9" s="31" t="n">
        <f aca="false">IFERROR(C9/D9,0)</f>
        <v>5.01281942078365</v>
      </c>
    </row>
    <row r="10" customFormat="false" ht="15" hidden="false" customHeight="false" outlineLevel="0" collapsed="false">
      <c r="A10" s="5" t="s">
        <v>94</v>
      </c>
      <c r="B10" s="32" t="n">
        <v>11</v>
      </c>
      <c r="C10" s="31" t="n">
        <v>33126.5</v>
      </c>
      <c r="D10" s="32" t="n">
        <v>4038</v>
      </c>
      <c r="E10" s="17" t="n">
        <f aca="false">IFERROR(D10/6292,0)</f>
        <v>0.641767323585505</v>
      </c>
      <c r="F10" s="31" t="n">
        <f aca="false">IFERROR(C10/D10,0)</f>
        <v>8.20368994551758</v>
      </c>
    </row>
    <row r="11" customFormat="false" ht="15" hidden="false" customHeight="false" outlineLevel="0" collapsed="false">
      <c r="A11" s="5" t="s">
        <v>95</v>
      </c>
      <c r="B11" s="32" t="n">
        <v>6</v>
      </c>
      <c r="C11" s="31" t="n">
        <v>21436.3</v>
      </c>
      <c r="D11" s="32" t="n">
        <v>2097</v>
      </c>
      <c r="E11" s="17" t="n">
        <f aca="false">IFERROR(D11/3432,0)</f>
        <v>0.611013986013986</v>
      </c>
      <c r="F11" s="31" t="n">
        <f aca="false">IFERROR(C11/D11,0)</f>
        <v>10.2223652837387</v>
      </c>
    </row>
    <row r="12" customFormat="false" ht="15" hidden="false" customHeight="false" outlineLevel="0" collapsed="false">
      <c r="A12" s="5" t="s">
        <v>97</v>
      </c>
      <c r="B12" s="32" t="n">
        <v>2</v>
      </c>
      <c r="C12" s="31" t="n">
        <v>5727.8</v>
      </c>
      <c r="D12" s="32" t="n">
        <v>300</v>
      </c>
      <c r="E12" s="17" t="n">
        <f aca="false">IFERROR(D12/1144,0)</f>
        <v>0.262237762237762</v>
      </c>
      <c r="F12" s="31" t="n">
        <f aca="false">IFERROR(C12/D12,0)</f>
        <v>19.0926666666667</v>
      </c>
    </row>
    <row r="13" customFormat="false" ht="15" hidden="false" customHeight="false" outlineLevel="0" collapsed="false">
      <c r="A13" s="5" t="s">
        <v>98</v>
      </c>
      <c r="B13" s="32" t="n">
        <v>1</v>
      </c>
      <c r="C13" s="31" t="n">
        <v>6331.3</v>
      </c>
      <c r="D13" s="32" t="n">
        <v>205</v>
      </c>
      <c r="E13" s="17" t="n">
        <f aca="false">IFERROR(D13/572,0)</f>
        <v>0.358391608391608</v>
      </c>
      <c r="F13" s="31" t="n">
        <f aca="false">IFERROR(C13/D13,0)</f>
        <v>30.8843902439024</v>
      </c>
    </row>
    <row r="14" customFormat="false" ht="15" hidden="false" customHeight="false" outlineLevel="0" collapsed="false">
      <c r="A14" s="9" t="s">
        <v>200</v>
      </c>
      <c r="B14" s="38" t="n">
        <f aca="false">SUM(B5:B13)</f>
        <v>48</v>
      </c>
      <c r="C14" s="37" t="n">
        <f aca="false">SUM(C5:C13)</f>
        <v>101580.3</v>
      </c>
      <c r="D14" s="38" t="n">
        <f aca="false">SUM(D5:D13)</f>
        <v>15162</v>
      </c>
      <c r="E14" s="19" t="n">
        <f aca="false">IFERROR(D14/27456,0)</f>
        <v>0.552229020979021</v>
      </c>
      <c r="F14" s="37" t="n">
        <f aca="false">IFERROR(C14/D14,0)</f>
        <v>6.69966363276613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2026-07-01T07:34:25Z</dcterms:created>
  <dc:creator>openpyxl</dc:creator>
  <dc:description/>
  <dc:language>en-US</dc:language>
  <cp:lastModifiedBy/>
  <dcterms:modified xsi:type="dcterms:W3CDTF">2026-07-01T07:50:03Z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
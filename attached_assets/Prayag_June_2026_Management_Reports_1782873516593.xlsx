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e 26-27 Overview" sheetId="1" state="visible" r:id="rId3"/>
    <sheet name="A. Pipe M-C Summary" sheetId="2" state="visible" r:id="rId4"/>
    <sheet name="Pipe Type-wise" sheetId="3" state="visible" r:id="rId5"/>
    <sheet name="B. Moulding M-C Summary" sheetId="4" state="visible" r:id="rId6"/>
    <sheet name="C. Group of Moulding" sheetId="5" state="visible" r:id="rId7"/>
    <sheet name="Moulding %age Efficiency" sheetId="6" state="visible" r:id="rId8"/>
    <sheet name="Garden Pipe Summary" sheetId="7" state="visible" r:id="rId9"/>
    <sheet name="HDPE 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<sst xmlns="http://schemas.openxmlformats.org/spreadsheetml/2006/main" count="174" uniqueCount="109">
  <si>
    <t xml:space="preserve">Prayag — June 2026 Management Reports  (FY 2026-27)</t>
  </si>
  <si>
    <t xml:space="preserve">Recomputed from June daily source data (Pipe &amp; Fitting workbook). Pipe = date-wise max(Report-5, Report-11); Moulding = Report-12. Numbers are calculated, not copied from the final sheets.</t>
  </si>
  <si>
    <t xml:space="preserve">Pipe output (kg)</t>
  </si>
  <si>
    <t xml:space="preserve">Pipe rejection (kg)</t>
  </si>
  <si>
    <t xml:space="preserve">Moulding output (kg)</t>
  </si>
  <si>
    <t xml:space="preserve">Moulding rejection (kg)</t>
  </si>
  <si>
    <t xml:space="preserve">170,216</t>
  </si>
  <si>
    <t xml:space="preserve">15,354</t>
  </si>
  <si>
    <t xml:space="preserve">89,100</t>
  </si>
  <si>
    <t xml:space="preserve">896</t>
  </si>
  <si>
    <t xml:space="preserve">Contents: (A) Pipe M/C Summary · Pipe Type-wise · (B) Moulding M/C Summary · (C) Group of Moulding by Tonnage · Moulding %age in Efficiency</t>
  </si>
  <si>
    <t xml:space="preserve">Note: labour-cost columns (Paid Hours / Wages / Per-KG Labour Cost) in the official (A)/(B) sheets require the Employee-Cost workbook and are not included here.</t>
  </si>
  <si>
    <t xml:space="preserve">Data note: June Report-11 (item/type log) is only ~40% entered (5 of 11 dates), so the pipe TYPE split is partial; pipe totals are complete from Report-5 daily. This is why the date-wise max rule matters — it uses whichever report is more complete each month (Report-11 in Apr/May, Report-5 in June).</t>
  </si>
  <si>
    <t xml:space="preserve">Added families (June): Garden Pipe = 60,928 kg (recomputed). HDPE = no June production entered (empty). Still pending verification: (D) Pipe Moulds (mould reports 17-20 are labelled APRIL'26 in the June book — month mapping unconfirmed), Compound Compilation (separate annual workbook), and the labour-cost columns for (A)/(B) (need the Employee-Cost workbook).</t>
  </si>
  <si>
    <t xml:space="preserve">(A) Annual 26-27 Pipe M/C Summary  —  JUNE '26 (recomputed)</t>
  </si>
  <si>
    <t xml:space="preserve">Pipe M/C</t>
  </si>
  <si>
    <t xml:space="preserve">Ideal Hours</t>
  </si>
  <si>
    <t xml:space="preserve">Actual Hours</t>
  </si>
  <si>
    <t xml:space="preserve">M/C Utilization</t>
  </si>
  <si>
    <t xml:space="preserve">Actual Output (kg)</t>
  </si>
  <si>
    <t xml:space="preserve">Ideal Output</t>
  </si>
  <si>
    <t xml:space="preserve">Avg. Per Hour Output</t>
  </si>
  <si>
    <t xml:space="preserve">Output Efficiency</t>
  </si>
  <si>
    <t xml:space="preserve">Rejection (kg)</t>
  </si>
  <si>
    <t xml:space="preserve">Rejection %</t>
  </si>
  <si>
    <t xml:space="preserve">M/C-1</t>
  </si>
  <si>
    <t xml:space="preserve">M/C-2</t>
  </si>
  <si>
    <t xml:space="preserve">M/C-3</t>
  </si>
  <si>
    <t xml:space="preserve">M/C-4</t>
  </si>
  <si>
    <t xml:space="preserve">M/C-5</t>
  </si>
  <si>
    <t xml:space="preserve">M/C-6</t>
  </si>
  <si>
    <t xml:space="preserve">M/C-7</t>
  </si>
  <si>
    <t xml:space="preserve">M/C-9</t>
  </si>
  <si>
    <t xml:space="preserve">TOTAL</t>
  </si>
  <si>
    <t xml:space="preserve">Output &amp; rejection = date-wise max(Report-5, Report-11) over the union of machine-dates. Ideal M/C hours &amp; ideal output/hr from Report-5. Utilization = Actual÷Ideal hours; Efficiency = (Output÷Hours)÷Ideal output/hr.</t>
  </si>
  <si>
    <t xml:space="preserve">Labour Cost — JUNE '26  (Pipe &amp; Fitting segment)</t>
  </si>
  <si>
    <t xml:space="preserve">No. of Labour (segment)</t>
  </si>
  <si>
    <t xml:space="preserve">Pipe &amp; Fitting = 100 (per Segment report, April basis — confirm June)</t>
  </si>
  <si>
    <t xml:space="preserve">Paid Hours (June)</t>
  </si>
  <si>
    <t xml:space="preserve">awaiting June labour entry</t>
  </si>
  <si>
    <t xml:space="preserve">Paid Wages, INR (June)</t>
  </si>
  <si>
    <t xml:space="preserve">Per Hour Cost, INR</t>
  </si>
  <si>
    <t xml:space="preserve">auto: Wages ÷ Paid Hours</t>
  </si>
  <si>
    <t xml:space="preserve">Output, kg (from this report)</t>
  </si>
  <si>
    <t xml:space="preserve">Per-kg Labour Cost, INR</t>
  </si>
  <si>
    <t xml:space="preserve">auto: Wages ÷ Output</t>
  </si>
  <si>
    <t xml:space="preserve">June labour data is not yet entered in the source workbooks (Employee-Cost D-tabs and the Segment report are empty for Jun'26; wages read 0 even for April). Enter June Paid Hours and Paid Wages for this segment in the yellow cells and Per-Hour and Per-kg Labour Cost compute automatically. Populating from source also needs the HR-department → segment mapping (cost workbook uses CP/SINK/PTMT/HINGES; segments are Pipe &amp; Fitting / Moulding).</t>
  </si>
  <si>
    <t xml:space="preserve">Pipe Production by Type — JUNE '26   (type from Report-11; totals from corrected date-wise max)</t>
  </si>
  <si>
    <t xml:space="preserve">CPVC</t>
  </si>
  <si>
    <t xml:space="preserve">UPVC</t>
  </si>
  <si>
    <t xml:space="preserve">SWR</t>
  </si>
  <si>
    <t xml:space="preserve">AGRI</t>
  </si>
  <si>
    <t xml:space="preserve">Untyped*</t>
  </si>
  <si>
    <t xml:space="preserve">TOTAL (corrected)</t>
  </si>
  <si>
    <t xml:space="preserve">Type coverage</t>
  </si>
  <si>
    <t xml:space="preserve">*Untyped = June output on production dates NOT YET entered in Report-11 (the only type source). As of this snapshot Report-11 covers 5 of 11 production dates (~40% of output), so ~62% is not yet classified by type. Machine totals and the grand total are COMPLETE (from Report-5 daily, 168,738 kg, internally consistent). The CPVC/UPVC/SWR/AGRI split will fill in as Report-11 is completed.</t>
  </si>
  <si>
    <t xml:space="preserve">(B) Annual 26-27 Moulding M/C Summary — JUNE '26  [from Report-12]</t>
  </si>
  <si>
    <t xml:space="preserve">Moulding M/C</t>
  </si>
  <si>
    <t xml:space="preserve">Tonnage</t>
  </si>
  <si>
    <t xml:space="preserve">A01(NU-200)</t>
  </si>
  <si>
    <t xml:space="preserve">A02(U-150)</t>
  </si>
  <si>
    <t xml:space="preserve">A03(U-150)</t>
  </si>
  <si>
    <t xml:space="preserve">A04(NU-150)</t>
  </si>
  <si>
    <t xml:space="preserve">A05(U-150)</t>
  </si>
  <si>
    <t xml:space="preserve">A06(C-150)</t>
  </si>
  <si>
    <t xml:space="preserve">B01(C-275)</t>
  </si>
  <si>
    <t xml:space="preserve">B02(C-200)</t>
  </si>
  <si>
    <t xml:space="preserve">B03(C-200)</t>
  </si>
  <si>
    <t xml:space="preserve">B04(C-200)</t>
  </si>
  <si>
    <t xml:space="preserve">B05(C-150)</t>
  </si>
  <si>
    <t xml:space="preserve">B06(NU-200)</t>
  </si>
  <si>
    <t xml:space="preserve">C01(U-250)</t>
  </si>
  <si>
    <t xml:space="preserve">C02(U-250)</t>
  </si>
  <si>
    <t xml:space="preserve">C04(U-250)</t>
  </si>
  <si>
    <t xml:space="preserve">C05(U-250)</t>
  </si>
  <si>
    <t xml:space="preserve">C06(U-250)</t>
  </si>
  <si>
    <t xml:space="preserve">C07(U-250)</t>
  </si>
  <si>
    <t xml:space="preserve">D01(U-450)</t>
  </si>
  <si>
    <t xml:space="preserve">D02(U-350)</t>
  </si>
  <si>
    <t xml:space="preserve">D03(U-250)</t>
  </si>
  <si>
    <t xml:space="preserve">D05(U-200)</t>
  </si>
  <si>
    <t xml:space="preserve">D06(U-250)</t>
  </si>
  <si>
    <t xml:space="preserve">D07(U-250)</t>
  </si>
  <si>
    <t xml:space="preserve">Labour Cost — JUNE '26  (Injection Moulding segment)</t>
  </si>
  <si>
    <t xml:space="preserve">(C) Group of Moulding M/C Summary by Tonnage — JUNE '26</t>
  </si>
  <si>
    <t xml:space="preserve">Tonnage Group</t>
  </si>
  <si>
    <t xml:space="preserve"># Machines</t>
  </si>
  <si>
    <t xml:space="preserve">% of Moulding Output</t>
  </si>
  <si>
    <t xml:space="preserve">150 T</t>
  </si>
  <si>
    <t xml:space="preserve">200 T</t>
  </si>
  <si>
    <t xml:space="preserve">250 T</t>
  </si>
  <si>
    <t xml:space="preserve">275 T</t>
  </si>
  <si>
    <t xml:space="preserve">350 T</t>
  </si>
  <si>
    <t xml:space="preserve">450 T</t>
  </si>
  <si>
    <t xml:space="preserve">Tonnage parsed from the machine code, e.g. A02(U-150) = 150 T. Mirrors the (C) report's 150-to-450 grouping.</t>
  </si>
  <si>
    <t xml:space="preserve">Annual 26-27 Moulding %age in Efficiency — JUNE '26</t>
  </si>
  <si>
    <t xml:space="preserve">Output Share %</t>
  </si>
  <si>
    <t xml:space="preserve">Annual 26-27 Garden Pipe M/C Summary — JUNE '26  (recomputed)</t>
  </si>
  <si>
    <t xml:space="preserve">Garden Pipe M/C</t>
  </si>
  <si>
    <t xml:space="preserve">Output (PCS)</t>
  </si>
  <si>
    <t xml:space="preserve">Output (MTR)</t>
  </si>
  <si>
    <t xml:space="preserve">Output (kg)</t>
  </si>
  <si>
    <t xml:space="preserve">% of Garden Output</t>
  </si>
  <si>
    <t xml:space="preserve">M/C 1</t>
  </si>
  <si>
    <t xml:space="preserve">M/C 2</t>
  </si>
  <si>
    <t xml:space="preserve">M/C 3</t>
  </si>
  <si>
    <t xml:space="preserve">M/C 4</t>
  </si>
  <si>
    <t xml:space="preserve">HDPE M/C Summary — JUNE '26</t>
  </si>
  <si>
    <t xml:space="preserve">HDPE June 2026 has NO production entered: the Daily Report and Total Production tabs are all zeros for every machine (M/C-1..6 + DANA). Reported as 'awaiting source / no production' rather than a real zero. Re-check once June HDPE data is filled.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</si>
</sst>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#,##0.0"/>
    <numFmt numFmtId="168" formatCode="#,##0.00"/>
    <numFmt numFmtId="169" formatCode="#,##0.000"/>
    <numFmt numFmtId="170" formatCode="0%"/>
    <numFmt numFmtId="171" formatCode="0"/>
    <numFmt numFmtId="172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2"/>
      <color rgb="FFC55A11"/>
      <name val="Calibri"/>
      <family val="0"/>
      <charset val="1"/>
    </font>
    <font>
      <b val="true"/>
      <sz val="22"/>
      <color rgb="FF1F3864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i val="true"/>
      <sz val="9"/>
      <color rgb="FF806000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i val="true"/>
      <sz val="8.5"/>
      <color rgb="FF806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11"/>
      <color rgb="FF806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55A11"/>
        <bgColor rgb="FF806000"/>
      </patternFill>
    </fill>
    <fill>
      <patternFill patternType="solid">
        <fgColor rgb="FFFFF2CC"/>
        <bgColor rgb="FFEEF2F8"/>
      </patternFill>
    </fill>
    <fill>
      <patternFill patternType="solid">
        <fgColor rgb="FFFFFFFF"/>
        <bgColor rgb="FFEEF2F8"/>
      </patternFill>
    </fill>
    <fill>
      <patternFill patternType="solid">
        <fgColor rgb="FFEEF2F8"/>
        <bgColor rgb="FFFFFFFF"/>
      </patternFill>
    </fill>
    <fill>
      <patternFill patternType="solid">
        <fgColor rgb="FFBDD7EE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  <border diagonalUp="false" diagonalDown="false">
      <left style="thin">
        <color rgb="FFB0B8C4"/>
      </left>
      <right/>
      <top style="thin">
        <color rgb="FFB0B8C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2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0B8C4"/>
      <rgbColor rgb="FF7F7F7F"/>
      <rgbColor rgb="FF9999FF"/>
      <rgbColor rgb="FF993366"/>
      <rgbColor rgb="FFFFF2CC"/>
      <rgbColor rgb="FFEEF2F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0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/>
      <c r="C4" s="5" t="s">
        <v>3</v>
      </c>
      <c r="D4" s="5"/>
      <c r="E4" s="4" t="s">
        <v>4</v>
      </c>
      <c r="F4" s="4"/>
      <c r="G4" s="5" t="s">
        <v>5</v>
      </c>
      <c r="H4" s="5"/>
    </row>
    <row r="5" customFormat="false" ht="15" hidden="false" customHeight="true" outlineLevel="0" collapsed="false">
      <c r="A5" s="6" t="s">
        <v>6</v>
      </c>
      <c r="B5" s="6"/>
      <c r="C5" s="7" t="s">
        <v>7</v>
      </c>
      <c r="D5" s="7"/>
      <c r="E5" s="6" t="s">
        <v>8</v>
      </c>
      <c r="F5" s="6"/>
      <c r="G5" s="7" t="s">
        <v>9</v>
      </c>
      <c r="H5" s="7"/>
    </row>
    <row r="6" customFormat="false" ht="15" hidden="false" customHeight="true" outlineLevel="0" collapsed="false">
      <c r="A6" s="6"/>
      <c r="B6" s="6"/>
      <c r="C6" s="7"/>
      <c r="D6" s="7"/>
      <c r="E6" s="6"/>
      <c r="F6" s="6"/>
      <c r="G6" s="7"/>
      <c r="H6" s="7"/>
    </row>
    <row r="8" customFormat="false" ht="15" hidden="false" customHeight="true" outlineLevel="0" collapsed="false">
      <c r="A8" s="3" t="s">
        <v>10</v>
      </c>
      <c r="B8" s="3"/>
      <c r="C8" s="3"/>
      <c r="D8" s="3"/>
      <c r="E8" s="3"/>
      <c r="F8" s="3"/>
      <c r="G8" s="3"/>
    </row>
    <row r="9" customFormat="false" ht="15" hidden="false" customHeight="true" outlineLevel="0" collapsed="false">
      <c r="A9" s="8" t="s">
        <v>11</v>
      </c>
      <c r="B9" s="8"/>
      <c r="C9" s="8"/>
      <c r="D9" s="8"/>
      <c r="E9" s="8"/>
      <c r="F9" s="8"/>
      <c r="G9" s="8"/>
    </row>
    <row r="11" customFormat="false" ht="15" hidden="false" customHeight="true" outlineLevel="0" collapsed="false">
      <c r="A11" s="9" t="s">
        <v>12</v>
      </c>
      <c r="B11" s="9"/>
      <c r="C11" s="9"/>
      <c r="D11" s="9"/>
      <c r="E11" s="9"/>
      <c r="F11" s="9"/>
      <c r="G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</row>
    <row r="14" customFormat="false" ht="15" hidden="false" customHeight="true" outlineLevel="0" collapsed="false">
      <c r="A14" s="9" t="s">
        <v>13</v>
      </c>
      <c r="B14" s="9"/>
      <c r="C14" s="9"/>
      <c r="D14" s="9"/>
      <c r="E14" s="9"/>
      <c r="F14" s="9"/>
      <c r="G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9"/>
    </row>
  </sheetData>
  <mergeCells count="14">
    <mergeCell ref="A1:G1"/>
    <mergeCell ref="A2:G2"/>
    <mergeCell ref="A4:B4"/>
    <mergeCell ref="C4:D4"/>
    <mergeCell ref="E4:F4"/>
    <mergeCell ref="G4:H4"/>
    <mergeCell ref="A5:B6"/>
    <mergeCell ref="C5:D6"/>
    <mergeCell ref="E5:F6"/>
    <mergeCell ref="G5:H6"/>
    <mergeCell ref="A8:G8"/>
    <mergeCell ref="A9:G9"/>
    <mergeCell ref="A11:G12"/>
    <mergeCell ref="A14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1"/>
  </cols>
  <sheetData>
    <row r="1" customFormat="false" ht="24" hidden="false" customHeight="true" outlineLevel="0" collapsed="false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3.25" hidden="false" customHeight="true" outlineLevel="0" collapsed="false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</row>
    <row r="3" customFormat="false" ht="15" hidden="false" customHeight="true" outlineLevel="0" collapsed="false">
      <c r="A3" s="10" t="s">
        <v>25</v>
      </c>
      <c r="B3" s="11" t="n">
        <v>500</v>
      </c>
      <c r="C3" s="11" t="n">
        <v>217</v>
      </c>
      <c r="D3" s="12" t="n">
        <f aca="false">IFERROR(C3/B3,0)</f>
        <v>0.434</v>
      </c>
      <c r="E3" s="11" t="n">
        <v>16268</v>
      </c>
      <c r="F3" s="11" t="n">
        <v>26040</v>
      </c>
      <c r="G3" s="13" t="n">
        <f aca="false">IFERROR(E3/C3,0)</f>
        <v>74.9677419354839</v>
      </c>
      <c r="H3" s="12" t="n">
        <f aca="false">IFERROR((E3/C3)/120,0)</f>
        <v>0.624731182795699</v>
      </c>
      <c r="I3" s="11" t="n">
        <v>2100</v>
      </c>
      <c r="J3" s="12" t="n">
        <f aca="false">IFERROR(I3/(E3+I3),0)</f>
        <v>0.114329268292683</v>
      </c>
    </row>
    <row r="4" customFormat="false" ht="15" hidden="false" customHeight="true" outlineLevel="0" collapsed="false">
      <c r="A4" s="14" t="s">
        <v>26</v>
      </c>
      <c r="B4" s="15" t="n">
        <v>500</v>
      </c>
      <c r="C4" s="15" t="n">
        <v>181</v>
      </c>
      <c r="D4" s="16" t="n">
        <f aca="false">IFERROR(C4/B4,0)</f>
        <v>0.362</v>
      </c>
      <c r="E4" s="15" t="n">
        <v>21044</v>
      </c>
      <c r="F4" s="15" t="n">
        <v>50680</v>
      </c>
      <c r="G4" s="17" t="n">
        <f aca="false">IFERROR(E4/C4,0)</f>
        <v>116.265193370166</v>
      </c>
      <c r="H4" s="16" t="n">
        <f aca="false">IFERROR((E4/C4)/280,0)</f>
        <v>0.415232833464878</v>
      </c>
      <c r="I4" s="15" t="n">
        <v>2505</v>
      </c>
      <c r="J4" s="16" t="n">
        <f aca="false">IFERROR(I4/(E4+I4),0)</f>
        <v>0.106373943691877</v>
      </c>
    </row>
    <row r="5" customFormat="false" ht="15" hidden="false" customHeight="true" outlineLevel="0" collapsed="false">
      <c r="A5" s="10" t="s">
        <v>27</v>
      </c>
      <c r="B5" s="11" t="n">
        <v>500</v>
      </c>
      <c r="C5" s="11" t="n">
        <v>112</v>
      </c>
      <c r="D5" s="12" t="n">
        <f aca="false">IFERROR(C5/B5,0)</f>
        <v>0.224</v>
      </c>
      <c r="E5" s="11" t="n">
        <v>19473</v>
      </c>
      <c r="F5" s="11" t="n">
        <v>35840</v>
      </c>
      <c r="G5" s="13" t="n">
        <f aca="false">IFERROR(E5/C5,0)</f>
        <v>173.866071428571</v>
      </c>
      <c r="H5" s="12" t="n">
        <f aca="false">IFERROR((E5/C5)/320,0)</f>
        <v>0.543331473214286</v>
      </c>
      <c r="I5" s="11" t="n">
        <v>2475</v>
      </c>
      <c r="J5" s="12" t="n">
        <f aca="false">IFERROR(I5/(E5+I5),0)</f>
        <v>0.1127665390924</v>
      </c>
    </row>
    <row r="6" customFormat="false" ht="15" hidden="false" customHeight="true" outlineLevel="0" collapsed="false">
      <c r="A6" s="14" t="s">
        <v>28</v>
      </c>
      <c r="B6" s="15" t="n">
        <v>500</v>
      </c>
      <c r="C6" s="15" t="n">
        <v>201</v>
      </c>
      <c r="D6" s="16" t="n">
        <f aca="false">IFERROR(C6/B6,0)</f>
        <v>0.402</v>
      </c>
      <c r="E6" s="15" t="n">
        <v>51956</v>
      </c>
      <c r="F6" s="15" t="n">
        <v>64320</v>
      </c>
      <c r="G6" s="17" t="n">
        <f aca="false">IFERROR(E6/C6,0)</f>
        <v>258.487562189055</v>
      </c>
      <c r="H6" s="16" t="n">
        <f aca="false">IFERROR((E6/C6)/320,0)</f>
        <v>0.807773631840796</v>
      </c>
      <c r="I6" s="15" t="n">
        <v>3265</v>
      </c>
      <c r="J6" s="16" t="n">
        <f aca="false">IFERROR(I6/(E6+I6),0)</f>
        <v>0.0591260571159523</v>
      </c>
    </row>
    <row r="7" customFormat="false" ht="15" hidden="false" customHeight="true" outlineLevel="0" collapsed="false">
      <c r="A7" s="10" t="s">
        <v>29</v>
      </c>
      <c r="B7" s="11" t="n">
        <v>500</v>
      </c>
      <c r="C7" s="11" t="n">
        <v>61</v>
      </c>
      <c r="D7" s="12" t="n">
        <f aca="false">IFERROR(C7/B7,0)</f>
        <v>0.122</v>
      </c>
      <c r="E7" s="11" t="n">
        <v>10892</v>
      </c>
      <c r="F7" s="11" t="n">
        <v>19520</v>
      </c>
      <c r="G7" s="13" t="n">
        <f aca="false">IFERROR(E7/C7,0)</f>
        <v>178.55737704918</v>
      </c>
      <c r="H7" s="12" t="n">
        <f aca="false">IFERROR((E7/C7)/320,0)</f>
        <v>0.557991803278689</v>
      </c>
      <c r="I7" s="11" t="n">
        <v>1340</v>
      </c>
      <c r="J7" s="12" t="n">
        <f aca="false">IFERROR(I7/(E7+I7),0)</f>
        <v>0.109548724656638</v>
      </c>
    </row>
    <row r="8" customFormat="false" ht="15" hidden="false" customHeight="true" outlineLevel="0" collapsed="false">
      <c r="A8" s="14" t="s">
        <v>30</v>
      </c>
      <c r="B8" s="15" t="n">
        <v>500</v>
      </c>
      <c r="C8" s="15" t="n">
        <v>161</v>
      </c>
      <c r="D8" s="16" t="n">
        <f aca="false">IFERROR(C8/B8,0)</f>
        <v>0.322</v>
      </c>
      <c r="E8" s="15" t="n">
        <v>29918</v>
      </c>
      <c r="F8" s="15" t="n">
        <v>51520</v>
      </c>
      <c r="G8" s="17" t="n">
        <f aca="false">IFERROR(E8/C8,0)</f>
        <v>185.826086956522</v>
      </c>
      <c r="H8" s="16" t="n">
        <f aca="false">IFERROR((E8/C8)/320,0)</f>
        <v>0.580706521739131</v>
      </c>
      <c r="I8" s="15" t="n">
        <v>2104</v>
      </c>
      <c r="J8" s="16" t="n">
        <f aca="false">IFERROR(I8/(E8+I8),0)</f>
        <v>0.0657048279307976</v>
      </c>
    </row>
    <row r="9" customFormat="false" ht="15" hidden="false" customHeight="true" outlineLevel="0" collapsed="false">
      <c r="A9" s="10" t="s">
        <v>31</v>
      </c>
      <c r="B9" s="11" t="n">
        <v>500</v>
      </c>
      <c r="C9" s="11" t="n">
        <v>22</v>
      </c>
      <c r="D9" s="12" t="n">
        <f aca="false">IFERROR(C9/B9,0)</f>
        <v>0.044</v>
      </c>
      <c r="E9" s="11" t="n">
        <v>4588</v>
      </c>
      <c r="F9" s="11" t="n">
        <v>4400</v>
      </c>
      <c r="G9" s="13" t="n">
        <f aca="false">IFERROR(E9/C9,0)</f>
        <v>208.545454545455</v>
      </c>
      <c r="H9" s="12" t="n">
        <f aca="false">IFERROR((E9/C9)/200,0)</f>
        <v>1.04272727272727</v>
      </c>
      <c r="I9" s="11" t="n">
        <v>265</v>
      </c>
      <c r="J9" s="12" t="n">
        <f aca="false">IFERROR(I9/(E9+I9),0)</f>
        <v>0.0546053987224397</v>
      </c>
    </row>
    <row r="10" customFormat="false" ht="15" hidden="false" customHeight="true" outlineLevel="0" collapsed="false">
      <c r="A10" s="14" t="s">
        <v>32</v>
      </c>
      <c r="B10" s="15" t="n">
        <v>500</v>
      </c>
      <c r="C10" s="15" t="n">
        <v>54</v>
      </c>
      <c r="D10" s="16" t="n">
        <f aca="false">IFERROR(C10/B10,0)</f>
        <v>0.108</v>
      </c>
      <c r="E10" s="15" t="n">
        <v>16077</v>
      </c>
      <c r="F10" s="15" t="n">
        <v>21600</v>
      </c>
      <c r="G10" s="17" t="n">
        <f aca="false">IFERROR(E10/C10,0)</f>
        <v>297.722222222222</v>
      </c>
      <c r="H10" s="16" t="n">
        <f aca="false">IFERROR((E10/C10)/400,0)</f>
        <v>0.744305555555556</v>
      </c>
      <c r="I10" s="15" t="n">
        <v>1300</v>
      </c>
      <c r="J10" s="16" t="n">
        <f aca="false">IFERROR(I10/(E10+I10),0)</f>
        <v>0.0748115324854693</v>
      </c>
    </row>
    <row r="11" customFormat="false" ht="15" hidden="false" customHeight="true" outlineLevel="0" collapsed="false">
      <c r="A11" s="18" t="s">
        <v>33</v>
      </c>
      <c r="B11" s="19" t="n">
        <f aca="false">SUM(B3:B10)</f>
        <v>4000</v>
      </c>
      <c r="C11" s="19" t="n">
        <f aca="false">SUM(C3:C10)</f>
        <v>1009</v>
      </c>
      <c r="D11" s="20" t="n">
        <f aca="false">IFERROR(C11/B11,0)</f>
        <v>0.25225</v>
      </c>
      <c r="E11" s="19" t="n">
        <f aca="false">SUM(E3:E10)</f>
        <v>170216</v>
      </c>
      <c r="F11" s="19" t="n">
        <f aca="false">SUM(F3:F10)</f>
        <v>273920</v>
      </c>
      <c r="G11" s="21" t="n">
        <f aca="false">IFERROR(E11/C11,0)</f>
        <v>168.697720515362</v>
      </c>
      <c r="H11" s="22"/>
      <c r="I11" s="19" t="n">
        <f aca="false">SUM(I3:I10)</f>
        <v>15354</v>
      </c>
      <c r="J11" s="20" t="n">
        <f aca="false">IFERROR(I11/(E11+I11),0)</f>
        <v>0.0827396669720321</v>
      </c>
    </row>
    <row r="13" customFormat="false" ht="15" hidden="false" customHeight="true" outlineLevel="0" collapsed="false">
      <c r="A13" s="23" t="s">
        <v>34</v>
      </c>
      <c r="B13" s="23"/>
      <c r="C13" s="23"/>
      <c r="D13" s="23"/>
      <c r="E13" s="23"/>
      <c r="F13" s="23"/>
      <c r="G13" s="23"/>
      <c r="H13" s="23"/>
      <c r="I13" s="23"/>
      <c r="J13" s="23"/>
    </row>
    <row r="16" customFormat="false" ht="15" hidden="false" customHeight="false" outlineLevel="0" collapsed="false">
      <c r="A16" s="24" t="s">
        <v>35</v>
      </c>
      <c r="B16" s="24"/>
      <c r="C16" s="24"/>
      <c r="D16" s="24"/>
      <c r="E16" s="24"/>
      <c r="F16" s="24"/>
    </row>
    <row r="17" customFormat="false" ht="15" hidden="false" customHeight="false" outlineLevel="0" collapsed="false">
      <c r="A17" s="25" t="s">
        <v>36</v>
      </c>
      <c r="B17" s="25"/>
      <c r="C17" s="26"/>
      <c r="D17" s="27" t="s">
        <v>37</v>
      </c>
      <c r="E17" s="27"/>
      <c r="F17" s="27"/>
    </row>
    <row r="18" customFormat="false" ht="15" hidden="false" customHeight="false" outlineLevel="0" collapsed="false">
      <c r="A18" s="25" t="s">
        <v>38</v>
      </c>
      <c r="B18" s="25"/>
      <c r="C18" s="28"/>
      <c r="D18" s="29" t="s">
        <v>39</v>
      </c>
      <c r="E18" s="29"/>
      <c r="F18" s="29"/>
    </row>
    <row r="19" customFormat="false" ht="15" hidden="false" customHeight="false" outlineLevel="0" collapsed="false">
      <c r="A19" s="25" t="s">
        <v>40</v>
      </c>
      <c r="B19" s="25"/>
      <c r="C19" s="28"/>
      <c r="D19" s="29" t="s">
        <v>39</v>
      </c>
      <c r="E19" s="29"/>
      <c r="F19" s="29"/>
    </row>
    <row r="20" customFormat="false" ht="15" hidden="false" customHeight="false" outlineLevel="0" collapsed="false">
      <c r="A20" s="25" t="s">
        <v>41</v>
      </c>
      <c r="B20" s="25"/>
      <c r="C20" s="30" t="str">
        <f aca="false">IFERROR(C19/C18,"")</f>
        <v/>
      </c>
      <c r="D20" s="27" t="s">
        <v>42</v>
      </c>
      <c r="E20" s="27"/>
      <c r="F20" s="27"/>
    </row>
    <row r="21" customFormat="false" ht="15" hidden="false" customHeight="false" outlineLevel="0" collapsed="false">
      <c r="A21" s="25" t="s">
        <v>43</v>
      </c>
      <c r="B21" s="25"/>
      <c r="C21" s="31" t="n">
        <f aca="false">E11</f>
        <v>170216</v>
      </c>
      <c r="D21" s="27"/>
      <c r="E21" s="27"/>
      <c r="F21" s="27"/>
    </row>
    <row r="22" customFormat="false" ht="15" hidden="false" customHeight="false" outlineLevel="0" collapsed="false">
      <c r="A22" s="25" t="s">
        <v>44</v>
      </c>
      <c r="B22" s="25"/>
      <c r="C22" s="32" t="n">
        <f aca="false">IFERROR(C19/C21,"")</f>
        <v>0</v>
      </c>
      <c r="D22" s="27" t="s">
        <v>45</v>
      </c>
      <c r="E22" s="27"/>
      <c r="F22" s="27"/>
    </row>
    <row r="24" customFormat="false" ht="15" hidden="false" customHeight="true" outlineLevel="0" collapsed="false">
      <c r="A24" s="33" t="s">
        <v>46</v>
      </c>
      <c r="B24" s="33"/>
      <c r="C24" s="33"/>
      <c r="D24" s="33"/>
      <c r="E24" s="33"/>
      <c r="F24" s="33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</row>
  </sheetData>
  <mergeCells count="16">
    <mergeCell ref="A1:J1"/>
    <mergeCell ref="A13:J13"/>
    <mergeCell ref="A16:F16"/>
    <mergeCell ref="A17:B17"/>
    <mergeCell ref="D17:F17"/>
    <mergeCell ref="A18:B18"/>
    <mergeCell ref="D18:F18"/>
    <mergeCell ref="A19:B19"/>
    <mergeCell ref="D19:F19"/>
    <mergeCell ref="A20:B20"/>
    <mergeCell ref="D20:F20"/>
    <mergeCell ref="A21:B21"/>
    <mergeCell ref="D21:F21"/>
    <mergeCell ref="A22:B22"/>
    <mergeCell ref="D22:F22"/>
    <mergeCell ref="A24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6" min="2" style="1" width="11"/>
    <col collapsed="false" customWidth="true" hidden="false" outlineLevel="0" max="7" min="7" style="1" width="16"/>
    <col collapsed="false" customWidth="true" hidden="false" outlineLevel="0" max="8" min="8" style="1" width="13"/>
  </cols>
  <sheetData>
    <row r="1" customFormat="false" ht="24" hidden="false" customHeight="true" outlineLevel="0" collapsed="false">
      <c r="A1" s="34" t="s">
        <v>47</v>
      </c>
      <c r="B1" s="34"/>
      <c r="C1" s="34"/>
      <c r="D1" s="34"/>
      <c r="E1" s="34"/>
      <c r="F1" s="34"/>
      <c r="G1" s="34"/>
      <c r="H1" s="34"/>
    </row>
    <row r="2" customFormat="false" ht="15" hidden="false" customHeight="true" outlineLevel="0" collapsed="false">
      <c r="A2" s="5" t="s">
        <v>15</v>
      </c>
      <c r="B2" s="5" t="s">
        <v>48</v>
      </c>
      <c r="C2" s="5" t="s">
        <v>49</v>
      </c>
      <c r="D2" s="5" t="s">
        <v>50</v>
      </c>
      <c r="E2" s="5" t="s">
        <v>51</v>
      </c>
      <c r="F2" s="5" t="s">
        <v>52</v>
      </c>
      <c r="G2" s="5" t="s">
        <v>53</v>
      </c>
      <c r="H2" s="5" t="s">
        <v>54</v>
      </c>
    </row>
    <row r="3" customFormat="false" ht="15" hidden="false" customHeight="true" outlineLevel="0" collapsed="false">
      <c r="A3" s="10" t="s">
        <v>25</v>
      </c>
      <c r="B3" s="11" t="n">
        <v>6944</v>
      </c>
      <c r="C3" s="11" t="n">
        <v>0</v>
      </c>
      <c r="D3" s="11" t="n">
        <v>0</v>
      </c>
      <c r="E3" s="11" t="n">
        <v>0</v>
      </c>
      <c r="F3" s="35" t="n">
        <v>9324</v>
      </c>
      <c r="G3" s="11" t="n">
        <v>16268</v>
      </c>
      <c r="H3" s="36" t="n">
        <f aca="false">IFERROR(SUM(B3:E3)/G3,0)</f>
        <v>0.426850258175559</v>
      </c>
    </row>
    <row r="4" customFormat="false" ht="15" hidden="false" customHeight="true" outlineLevel="0" collapsed="false">
      <c r="A4" s="14" t="s">
        <v>26</v>
      </c>
      <c r="B4" s="15" t="n">
        <v>10378</v>
      </c>
      <c r="C4" s="15" t="n">
        <v>0</v>
      </c>
      <c r="D4" s="15" t="n">
        <v>0</v>
      </c>
      <c r="E4" s="15" t="n">
        <v>0</v>
      </c>
      <c r="F4" s="35" t="n">
        <v>10666</v>
      </c>
      <c r="G4" s="15" t="n">
        <v>21044</v>
      </c>
      <c r="H4" s="36" t="n">
        <f aca="false">IFERROR(SUM(B4:E4)/G4,0)</f>
        <v>0.493157194449724</v>
      </c>
    </row>
    <row r="5" customFormat="false" ht="15" hidden="false" customHeight="true" outlineLevel="0" collapsed="false">
      <c r="A5" s="10" t="s">
        <v>27</v>
      </c>
      <c r="B5" s="11" t="n">
        <v>1657</v>
      </c>
      <c r="C5" s="11" t="n">
        <v>4540</v>
      </c>
      <c r="D5" s="11" t="n">
        <v>200</v>
      </c>
      <c r="E5" s="11" t="n">
        <v>1045</v>
      </c>
      <c r="F5" s="35" t="n">
        <v>12031</v>
      </c>
      <c r="G5" s="11" t="n">
        <v>19473</v>
      </c>
      <c r="H5" s="36" t="n">
        <f aca="false">IFERROR(SUM(B5:E5)/G5,0)</f>
        <v>0.382170184357829</v>
      </c>
    </row>
    <row r="6" customFormat="false" ht="15" hidden="false" customHeight="true" outlineLevel="0" collapsed="false">
      <c r="A6" s="14" t="s">
        <v>28</v>
      </c>
      <c r="B6" s="15" t="n">
        <v>0</v>
      </c>
      <c r="C6" s="15" t="n">
        <v>0</v>
      </c>
      <c r="D6" s="15" t="n">
        <v>18196</v>
      </c>
      <c r="E6" s="15" t="n">
        <v>2470</v>
      </c>
      <c r="F6" s="35" t="n">
        <v>31290</v>
      </c>
      <c r="G6" s="15" t="n">
        <v>51956</v>
      </c>
      <c r="H6" s="36" t="n">
        <f aca="false">IFERROR(SUM(B6:E6)/G6,0)</f>
        <v>0.397759642774656</v>
      </c>
    </row>
    <row r="7" customFormat="false" ht="15" hidden="false" customHeight="true" outlineLevel="0" collapsed="false">
      <c r="A7" s="10" t="s">
        <v>29</v>
      </c>
      <c r="B7" s="11" t="n">
        <v>0</v>
      </c>
      <c r="C7" s="11" t="n">
        <v>492</v>
      </c>
      <c r="D7" s="11" t="n">
        <v>0</v>
      </c>
      <c r="E7" s="11" t="n">
        <v>2725</v>
      </c>
      <c r="F7" s="35" t="n">
        <v>7675</v>
      </c>
      <c r="G7" s="11" t="n">
        <v>10892</v>
      </c>
      <c r="H7" s="36" t="n">
        <f aca="false">IFERROR(SUM(B7:E7)/G7,0)</f>
        <v>0.295354388542049</v>
      </c>
    </row>
    <row r="8" customFormat="false" ht="15" hidden="false" customHeight="true" outlineLevel="0" collapsed="false">
      <c r="A8" s="14" t="s">
        <v>30</v>
      </c>
      <c r="B8" s="15" t="n">
        <v>0</v>
      </c>
      <c r="C8" s="15" t="n">
        <v>9550</v>
      </c>
      <c r="D8" s="15" t="n">
        <v>0</v>
      </c>
      <c r="E8" s="15" t="n">
        <v>0</v>
      </c>
      <c r="F8" s="35" t="n">
        <v>20368</v>
      </c>
      <c r="G8" s="15" t="n">
        <v>29918</v>
      </c>
      <c r="H8" s="36" t="n">
        <f aca="false">IFERROR(SUM(B8:E8)/G8,0)</f>
        <v>0.319205829266662</v>
      </c>
    </row>
    <row r="9" customFormat="false" ht="15" hidden="false" customHeight="true" outlineLevel="0" collapsed="false">
      <c r="A9" s="10" t="s">
        <v>31</v>
      </c>
      <c r="B9" s="11" t="n">
        <v>0</v>
      </c>
      <c r="C9" s="11" t="n">
        <v>0</v>
      </c>
      <c r="D9" s="11" t="n">
        <v>0</v>
      </c>
      <c r="E9" s="11" t="n">
        <v>0</v>
      </c>
      <c r="F9" s="35" t="n">
        <v>4588</v>
      </c>
      <c r="G9" s="11" t="n">
        <v>4588</v>
      </c>
      <c r="H9" s="36" t="n">
        <f aca="false">IFERROR(SUM(B9:E9)/G9,0)</f>
        <v>0</v>
      </c>
    </row>
    <row r="10" customFormat="false" ht="15" hidden="false" customHeight="true" outlineLevel="0" collapsed="false">
      <c r="A10" s="14" t="s">
        <v>32</v>
      </c>
      <c r="B10" s="15" t="n">
        <v>0</v>
      </c>
      <c r="C10" s="15" t="n">
        <v>0</v>
      </c>
      <c r="D10" s="15" t="n">
        <v>6879</v>
      </c>
      <c r="E10" s="15" t="n">
        <v>0</v>
      </c>
      <c r="F10" s="35" t="n">
        <v>9198</v>
      </c>
      <c r="G10" s="15" t="n">
        <v>16077</v>
      </c>
      <c r="H10" s="36" t="n">
        <f aca="false">IFERROR(SUM(B10:E10)/G10,0)</f>
        <v>0.427878335510356</v>
      </c>
    </row>
    <row r="11" customFormat="false" ht="15" hidden="false" customHeight="true" outlineLevel="0" collapsed="false">
      <c r="A11" s="18" t="s">
        <v>33</v>
      </c>
      <c r="B11" s="19" t="n">
        <f aca="false">SUM(B3:B10)</f>
        <v>18979</v>
      </c>
      <c r="C11" s="19" t="n">
        <f aca="false">SUM(C3:C10)</f>
        <v>14582</v>
      </c>
      <c r="D11" s="19" t="n">
        <f aca="false">SUM(D3:D10)</f>
        <v>25275</v>
      </c>
      <c r="E11" s="19" t="n">
        <f aca="false">SUM(E3:E10)</f>
        <v>6240</v>
      </c>
      <c r="F11" s="19" t="n">
        <f aca="false">SUM(F3:F10)</f>
        <v>105140</v>
      </c>
      <c r="G11" s="19" t="n">
        <f aca="false">SUM(G3:G10)</f>
        <v>170216</v>
      </c>
      <c r="H11" s="37" t="n">
        <f aca="false">IFERROR(SUM(B11:E11)/G11,0)</f>
        <v>0.382314236029515</v>
      </c>
    </row>
    <row r="13" customFormat="false" ht="15" hidden="false" customHeight="true" outlineLevel="0" collapsed="false">
      <c r="A13" s="9" t="s">
        <v>55</v>
      </c>
      <c r="B13" s="9"/>
      <c r="C13" s="9"/>
      <c r="D13" s="9"/>
      <c r="E13" s="9"/>
      <c r="F13" s="9"/>
      <c r="G13" s="9"/>
      <c r="H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9"/>
      <c r="H15" s="9"/>
    </row>
  </sheetData>
  <mergeCells count="2">
    <mergeCell ref="A1:H1"/>
    <mergeCell ref="A13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1"/>
  </cols>
  <sheetData>
    <row r="1" customFormat="false" ht="24" hidden="false" customHeight="true" outlineLevel="0" collapsed="false">
      <c r="A1" s="2" t="s">
        <v>56</v>
      </c>
      <c r="B1" s="2"/>
      <c r="C1" s="2"/>
      <c r="D1" s="2"/>
      <c r="E1" s="2"/>
      <c r="F1" s="2"/>
      <c r="G1" s="2"/>
    </row>
    <row r="2" customFormat="false" ht="23.25" hidden="false" customHeight="true" outlineLevel="0" collapsed="false">
      <c r="A2" s="5" t="s">
        <v>57</v>
      </c>
      <c r="B2" s="5" t="s">
        <v>58</v>
      </c>
      <c r="C2" s="5" t="s">
        <v>17</v>
      </c>
      <c r="D2" s="5" t="s">
        <v>19</v>
      </c>
      <c r="E2" s="5" t="s">
        <v>21</v>
      </c>
      <c r="F2" s="5" t="s">
        <v>23</v>
      </c>
      <c r="G2" s="5" t="s">
        <v>24</v>
      </c>
    </row>
    <row r="3" customFormat="false" ht="15" hidden="false" customHeight="true" outlineLevel="0" collapsed="false">
      <c r="A3" s="10" t="s">
        <v>59</v>
      </c>
      <c r="B3" s="38" t="n">
        <v>200</v>
      </c>
      <c r="C3" s="13" t="n">
        <v>130.9</v>
      </c>
      <c r="D3" s="13" t="n">
        <v>544.2</v>
      </c>
      <c r="E3" s="13" t="n">
        <f aca="false">IFERROR(D3/C3,0)</f>
        <v>4.15737203972498</v>
      </c>
      <c r="F3" s="13" t="n">
        <v>4.7</v>
      </c>
      <c r="G3" s="39" t="n">
        <f aca="false">IFERROR(F3/(D3+F3),0)</f>
        <v>0.00856257970486427</v>
      </c>
    </row>
    <row r="4" customFormat="false" ht="15" hidden="false" customHeight="true" outlineLevel="0" collapsed="false">
      <c r="A4" s="14" t="s">
        <v>60</v>
      </c>
      <c r="B4" s="40" t="n">
        <v>150</v>
      </c>
      <c r="C4" s="17" t="n">
        <v>431</v>
      </c>
      <c r="D4" s="17" t="n">
        <v>2654.2</v>
      </c>
      <c r="E4" s="17" t="n">
        <f aca="false">IFERROR(D4/C4,0)</f>
        <v>6.15823665893271</v>
      </c>
      <c r="F4" s="17" t="n">
        <v>25.2</v>
      </c>
      <c r="G4" s="41" t="n">
        <f aca="false">IFERROR(F4/(D4+F4),0)</f>
        <v>0.00940509069194596</v>
      </c>
    </row>
    <row r="5" customFormat="false" ht="15" hidden="false" customHeight="true" outlineLevel="0" collapsed="false">
      <c r="A5" s="10" t="s">
        <v>61</v>
      </c>
      <c r="B5" s="38" t="n">
        <v>150</v>
      </c>
      <c r="C5" s="13" t="n">
        <v>440</v>
      </c>
      <c r="D5" s="13" t="n">
        <v>3104.3</v>
      </c>
      <c r="E5" s="13" t="n">
        <f aca="false">IFERROR(D5/C5,0)</f>
        <v>7.05522727272727</v>
      </c>
      <c r="F5" s="13" t="n">
        <v>30.7</v>
      </c>
      <c r="G5" s="39" t="n">
        <f aca="false">IFERROR(F5/(D5+F5),0)</f>
        <v>0.009792663476874</v>
      </c>
    </row>
    <row r="6" customFormat="false" ht="15" hidden="false" customHeight="true" outlineLevel="0" collapsed="false">
      <c r="A6" s="14" t="s">
        <v>62</v>
      </c>
      <c r="B6" s="40" t="n">
        <v>150</v>
      </c>
      <c r="C6" s="17" t="n">
        <v>359</v>
      </c>
      <c r="D6" s="17" t="n">
        <v>567</v>
      </c>
      <c r="E6" s="17" t="n">
        <f aca="false">IFERROR(D6/C6,0)</f>
        <v>1.57938718662953</v>
      </c>
      <c r="F6" s="17" t="n">
        <v>5</v>
      </c>
      <c r="G6" s="41" t="n">
        <f aca="false">IFERROR(F6/(D6+F6),0)</f>
        <v>0.00874125874125874</v>
      </c>
    </row>
    <row r="7" customFormat="false" ht="15" hidden="false" customHeight="true" outlineLevel="0" collapsed="false">
      <c r="A7" s="10" t="s">
        <v>63</v>
      </c>
      <c r="B7" s="38" t="n">
        <v>150</v>
      </c>
      <c r="C7" s="13" t="n">
        <v>466</v>
      </c>
      <c r="D7" s="13" t="n">
        <v>2152.4</v>
      </c>
      <c r="E7" s="13" t="n">
        <f aca="false">IFERROR(D7/C7,0)</f>
        <v>4.61888412017167</v>
      </c>
      <c r="F7" s="13" t="n">
        <v>20.9</v>
      </c>
      <c r="G7" s="39" t="n">
        <f aca="false">IFERROR(F7/(D7+F7),0)</f>
        <v>0.0096167119127594</v>
      </c>
    </row>
    <row r="8" customFormat="false" ht="15" hidden="false" customHeight="true" outlineLevel="0" collapsed="false">
      <c r="A8" s="14" t="s">
        <v>64</v>
      </c>
      <c r="B8" s="40" t="n">
        <v>150</v>
      </c>
      <c r="C8" s="17" t="n">
        <v>474</v>
      </c>
      <c r="D8" s="17" t="n">
        <v>2617.9</v>
      </c>
      <c r="E8" s="17" t="n">
        <f aca="false">IFERROR(D8/C8,0)</f>
        <v>5.52299578059072</v>
      </c>
      <c r="F8" s="17" t="n">
        <v>25.7</v>
      </c>
      <c r="G8" s="41" t="n">
        <f aca="false">IFERROR(F8/(D8+F8),0)</f>
        <v>0.00972159176880012</v>
      </c>
    </row>
    <row r="9" customFormat="false" ht="15" hidden="false" customHeight="true" outlineLevel="0" collapsed="false">
      <c r="A9" s="10" t="s">
        <v>65</v>
      </c>
      <c r="B9" s="38" t="n">
        <v>275</v>
      </c>
      <c r="C9" s="13" t="n">
        <v>354</v>
      </c>
      <c r="D9" s="13" t="n">
        <v>4535.5</v>
      </c>
      <c r="E9" s="13" t="n">
        <f aca="false">IFERROR(D9/C9,0)</f>
        <v>12.8121468926554</v>
      </c>
      <c r="F9" s="13" t="n">
        <v>50.3</v>
      </c>
      <c r="G9" s="39" t="n">
        <f aca="false">IFERROR(F9/(D9+F9),0)</f>
        <v>0.0109686423306729</v>
      </c>
    </row>
    <row r="10" customFormat="false" ht="15" hidden="false" customHeight="true" outlineLevel="0" collapsed="false">
      <c r="A10" s="14" t="s">
        <v>66</v>
      </c>
      <c r="B10" s="40" t="n">
        <v>200</v>
      </c>
      <c r="C10" s="17" t="n">
        <v>447</v>
      </c>
      <c r="D10" s="17" t="n">
        <v>5771.3</v>
      </c>
      <c r="E10" s="17" t="n">
        <f aca="false">IFERROR(D10/C10,0)</f>
        <v>12.9111856823266</v>
      </c>
      <c r="F10" s="17" t="n">
        <v>53.9</v>
      </c>
      <c r="G10" s="41" t="n">
        <f aca="false">IFERROR(F10/(D10+F10),0)</f>
        <v>0.00925290118794205</v>
      </c>
    </row>
    <row r="11" customFormat="false" ht="15" hidden="false" customHeight="true" outlineLevel="0" collapsed="false">
      <c r="A11" s="10" t="s">
        <v>67</v>
      </c>
      <c r="B11" s="38" t="n">
        <v>200</v>
      </c>
      <c r="C11" s="13" t="n">
        <v>308</v>
      </c>
      <c r="D11" s="13" t="n">
        <v>2354.6</v>
      </c>
      <c r="E11" s="13" t="n">
        <f aca="false">IFERROR(D11/C11,0)</f>
        <v>7.6448051948052</v>
      </c>
      <c r="F11" s="13" t="n">
        <v>22.6</v>
      </c>
      <c r="G11" s="39" t="n">
        <f aca="false">IFERROR(F11/(D11+F11),0)</f>
        <v>0.00950698300521622</v>
      </c>
    </row>
    <row r="12" customFormat="false" ht="15" hidden="false" customHeight="true" outlineLevel="0" collapsed="false">
      <c r="A12" s="14" t="s">
        <v>68</v>
      </c>
      <c r="B12" s="40" t="n">
        <v>200</v>
      </c>
      <c r="C12" s="17" t="n">
        <v>417.5</v>
      </c>
      <c r="D12" s="17" t="n">
        <v>2550.3</v>
      </c>
      <c r="E12" s="17" t="n">
        <f aca="false">IFERROR(D12/C12,0)</f>
        <v>6.10850299401198</v>
      </c>
      <c r="F12" s="17" t="n">
        <v>23.4</v>
      </c>
      <c r="G12" s="41" t="n">
        <f aca="false">IFERROR(F12/(D12+F12),0)</f>
        <v>0.00909196876092785</v>
      </c>
    </row>
    <row r="13" customFormat="false" ht="15" hidden="false" customHeight="true" outlineLevel="0" collapsed="false">
      <c r="A13" s="10" t="s">
        <v>69</v>
      </c>
      <c r="B13" s="38" t="n">
        <v>150</v>
      </c>
      <c r="C13" s="13" t="n">
        <v>394</v>
      </c>
      <c r="D13" s="13" t="n">
        <v>2095.9</v>
      </c>
      <c r="E13" s="13" t="n">
        <f aca="false">IFERROR(D13/C13,0)</f>
        <v>5.31954314720812</v>
      </c>
      <c r="F13" s="13" t="n">
        <v>19.7</v>
      </c>
      <c r="G13" s="39" t="n">
        <f aca="false">IFERROR(F13/(D13+F13),0)</f>
        <v>0.00931177916430327</v>
      </c>
    </row>
    <row r="14" customFormat="false" ht="15" hidden="false" customHeight="true" outlineLevel="0" collapsed="false">
      <c r="A14" s="14" t="s">
        <v>70</v>
      </c>
      <c r="B14" s="40" t="n">
        <v>200</v>
      </c>
      <c r="C14" s="17" t="n">
        <v>255</v>
      </c>
      <c r="D14" s="17" t="n">
        <v>1934.1</v>
      </c>
      <c r="E14" s="17" t="n">
        <f aca="false">IFERROR(D14/C14,0)</f>
        <v>7.58470588235294</v>
      </c>
      <c r="F14" s="17" t="n">
        <v>15.3</v>
      </c>
      <c r="G14" s="41" t="n">
        <f aca="false">IFERROR(F14/(D14+F14),0)</f>
        <v>0.00784856879039705</v>
      </c>
    </row>
    <row r="15" customFormat="false" ht="15" hidden="false" customHeight="true" outlineLevel="0" collapsed="false">
      <c r="A15" s="10" t="s">
        <v>71</v>
      </c>
      <c r="B15" s="38" t="n">
        <v>250</v>
      </c>
      <c r="C15" s="13" t="n">
        <v>432</v>
      </c>
      <c r="D15" s="13" t="n">
        <v>5255.5</v>
      </c>
      <c r="E15" s="13" t="n">
        <f aca="false">IFERROR(D15/C15,0)</f>
        <v>12.1655092592593</v>
      </c>
      <c r="F15" s="13" t="n">
        <v>55</v>
      </c>
      <c r="G15" s="39" t="n">
        <f aca="false">IFERROR(F15/(D15+F15),0)</f>
        <v>0.0103568402222013</v>
      </c>
    </row>
    <row r="16" customFormat="false" ht="15" hidden="false" customHeight="true" outlineLevel="0" collapsed="false">
      <c r="A16" s="14" t="s">
        <v>72</v>
      </c>
      <c r="B16" s="40" t="n">
        <v>250</v>
      </c>
      <c r="C16" s="17" t="n">
        <v>459</v>
      </c>
      <c r="D16" s="17" t="n">
        <v>5492.2</v>
      </c>
      <c r="E16" s="17" t="n">
        <f aca="false">IFERROR(D16/C16,0)</f>
        <v>11.9655773420479</v>
      </c>
      <c r="F16" s="17" t="n">
        <v>58</v>
      </c>
      <c r="G16" s="41" t="n">
        <f aca="false">IFERROR(F16/(D16+F16),0)</f>
        <v>0.0104500738712118</v>
      </c>
    </row>
    <row r="17" customFormat="false" ht="15" hidden="false" customHeight="true" outlineLevel="0" collapsed="false">
      <c r="A17" s="10" t="s">
        <v>73</v>
      </c>
      <c r="B17" s="38" t="n">
        <v>250</v>
      </c>
      <c r="C17" s="13" t="n">
        <v>420</v>
      </c>
      <c r="D17" s="13" t="n">
        <v>4212.8</v>
      </c>
      <c r="E17" s="13" t="n">
        <f aca="false">IFERROR(D17/C17,0)</f>
        <v>10.0304761904762</v>
      </c>
      <c r="F17" s="13" t="n">
        <v>44.2</v>
      </c>
      <c r="G17" s="39" t="n">
        <f aca="false">IFERROR(F17/(D17+F17),0)</f>
        <v>0.0103828987549918</v>
      </c>
    </row>
    <row r="18" customFormat="false" ht="15" hidden="false" customHeight="true" outlineLevel="0" collapsed="false">
      <c r="A18" s="14" t="s">
        <v>74</v>
      </c>
      <c r="B18" s="40" t="n">
        <v>250</v>
      </c>
      <c r="C18" s="17" t="n">
        <v>148</v>
      </c>
      <c r="D18" s="17" t="n">
        <v>1979.3</v>
      </c>
      <c r="E18" s="17" t="n">
        <f aca="false">IFERROR(D18/C18,0)</f>
        <v>13.3736486486486</v>
      </c>
      <c r="F18" s="17" t="n">
        <v>20.4</v>
      </c>
      <c r="G18" s="41" t="n">
        <f aca="false">IFERROR(F18/(D18+F18),0)</f>
        <v>0.0102015302295344</v>
      </c>
    </row>
    <row r="19" customFormat="false" ht="15" hidden="false" customHeight="true" outlineLevel="0" collapsed="false">
      <c r="A19" s="10" t="s">
        <v>75</v>
      </c>
      <c r="B19" s="38" t="n">
        <v>250</v>
      </c>
      <c r="C19" s="13" t="n">
        <v>424</v>
      </c>
      <c r="D19" s="13" t="n">
        <v>4723.6</v>
      </c>
      <c r="E19" s="13" t="n">
        <f aca="false">IFERROR(D19/C19,0)</f>
        <v>11.1405660377359</v>
      </c>
      <c r="F19" s="13" t="n">
        <v>45.5</v>
      </c>
      <c r="G19" s="39" t="n">
        <f aca="false">IFERROR(F19/(D19+F19),0)</f>
        <v>0.00954058417730809</v>
      </c>
    </row>
    <row r="20" customFormat="false" ht="15" hidden="false" customHeight="true" outlineLevel="0" collapsed="false">
      <c r="A20" s="14" t="s">
        <v>76</v>
      </c>
      <c r="B20" s="40" t="n">
        <v>250</v>
      </c>
      <c r="C20" s="17" t="n">
        <v>454</v>
      </c>
      <c r="D20" s="17" t="n">
        <v>5597.4</v>
      </c>
      <c r="E20" s="17" t="n">
        <f aca="false">IFERROR(D20/C20,0)</f>
        <v>12.3290748898678</v>
      </c>
      <c r="F20" s="17" t="n">
        <v>52.1</v>
      </c>
      <c r="G20" s="41" t="n">
        <f aca="false">IFERROR(F20/(D20+F20),0)</f>
        <v>0.00922205504911939</v>
      </c>
    </row>
    <row r="21" customFormat="false" ht="15" hidden="false" customHeight="true" outlineLevel="0" collapsed="false">
      <c r="A21" s="10" t="s">
        <v>77</v>
      </c>
      <c r="B21" s="38" t="n">
        <v>450</v>
      </c>
      <c r="C21" s="13" t="n">
        <v>444</v>
      </c>
      <c r="D21" s="13" t="n">
        <v>9013.3</v>
      </c>
      <c r="E21" s="13" t="n">
        <f aca="false">IFERROR(D21/C21,0)</f>
        <v>20.3002252252252</v>
      </c>
      <c r="F21" s="13" t="n">
        <v>99.2</v>
      </c>
      <c r="G21" s="39" t="n">
        <f aca="false">IFERROR(F21/(D21+F21),0)</f>
        <v>0.0108861454046639</v>
      </c>
    </row>
    <row r="22" customFormat="false" ht="15" hidden="false" customHeight="true" outlineLevel="0" collapsed="false">
      <c r="A22" s="14" t="s">
        <v>78</v>
      </c>
      <c r="B22" s="40" t="n">
        <v>350</v>
      </c>
      <c r="C22" s="17" t="n">
        <v>421</v>
      </c>
      <c r="D22" s="17" t="n">
        <v>6352.6</v>
      </c>
      <c r="E22" s="17" t="n">
        <f aca="false">IFERROR(D22/C22,0)</f>
        <v>15.0893111638955</v>
      </c>
      <c r="F22" s="17" t="n">
        <v>66.8</v>
      </c>
      <c r="G22" s="41" t="n">
        <f aca="false">IFERROR(F22/(D22+F22),0)</f>
        <v>0.0104059569430165</v>
      </c>
    </row>
    <row r="23" customFormat="false" ht="15" hidden="false" customHeight="true" outlineLevel="0" collapsed="false">
      <c r="A23" s="10" t="s">
        <v>79</v>
      </c>
      <c r="B23" s="38" t="n">
        <v>250</v>
      </c>
      <c r="C23" s="13" t="n">
        <v>139</v>
      </c>
      <c r="D23" s="13" t="n">
        <v>904.4</v>
      </c>
      <c r="E23" s="13" t="n">
        <f aca="false">IFERROR(D23/C23,0)</f>
        <v>6.50647482014389</v>
      </c>
      <c r="F23" s="13" t="n">
        <v>9.6</v>
      </c>
      <c r="G23" s="39" t="n">
        <f aca="false">IFERROR(F23/(D23+F23),0)</f>
        <v>0.0105032822757112</v>
      </c>
    </row>
    <row r="24" customFormat="false" ht="15" hidden="false" customHeight="true" outlineLevel="0" collapsed="false">
      <c r="A24" s="14" t="s">
        <v>80</v>
      </c>
      <c r="B24" s="40" t="n">
        <v>200</v>
      </c>
      <c r="C24" s="17" t="n">
        <v>354</v>
      </c>
      <c r="D24" s="17" t="n">
        <v>1903</v>
      </c>
      <c r="E24" s="17" t="n">
        <f aca="false">IFERROR(D24/C24,0)</f>
        <v>5.37570621468927</v>
      </c>
      <c r="F24" s="17" t="n">
        <v>20.6</v>
      </c>
      <c r="G24" s="41" t="n">
        <f aca="false">IFERROR(F24/(D24+F24),0)</f>
        <v>0.0107090871283011</v>
      </c>
    </row>
    <row r="25" customFormat="false" ht="15" hidden="false" customHeight="true" outlineLevel="0" collapsed="false">
      <c r="A25" s="10" t="s">
        <v>81</v>
      </c>
      <c r="B25" s="38" t="n">
        <v>250</v>
      </c>
      <c r="C25" s="13" t="n">
        <v>440</v>
      </c>
      <c r="D25" s="13" t="n">
        <v>6642.8</v>
      </c>
      <c r="E25" s="13" t="n">
        <f aca="false">IFERROR(D25/C25,0)</f>
        <v>15.0972727272727</v>
      </c>
      <c r="F25" s="13" t="n">
        <v>64.4</v>
      </c>
      <c r="G25" s="39" t="n">
        <f aca="false">IFERROR(F25/(D25+F25),0)</f>
        <v>0.00960162213740458</v>
      </c>
    </row>
    <row r="26" customFormat="false" ht="15" hidden="false" customHeight="true" outlineLevel="0" collapsed="false">
      <c r="A26" s="14" t="s">
        <v>82</v>
      </c>
      <c r="B26" s="40" t="n">
        <v>250</v>
      </c>
      <c r="C26" s="17" t="n">
        <v>448</v>
      </c>
      <c r="D26" s="17" t="n">
        <v>6141.6</v>
      </c>
      <c r="E26" s="17" t="n">
        <f aca="false">IFERROR(D26/C26,0)</f>
        <v>13.7089285714286</v>
      </c>
      <c r="F26" s="17" t="n">
        <v>63</v>
      </c>
      <c r="G26" s="41" t="n">
        <f aca="false">IFERROR(F26/(D26+F26),0)</f>
        <v>0.0101537568900493</v>
      </c>
    </row>
    <row r="27" customFormat="false" ht="15" hidden="false" customHeight="true" outlineLevel="0" collapsed="false">
      <c r="A27" s="18" t="s">
        <v>33</v>
      </c>
      <c r="B27" s="22"/>
      <c r="C27" s="21" t="n">
        <f aca="false">SUM(C3:C26)</f>
        <v>9059.4</v>
      </c>
      <c r="D27" s="21" t="n">
        <f aca="false">SUM(D3:D26)</f>
        <v>89100.2</v>
      </c>
      <c r="E27" s="21" t="n">
        <f aca="false">IFERROR(D27/C27,0)</f>
        <v>9.83511049296863</v>
      </c>
      <c r="F27" s="21" t="n">
        <f aca="false">SUM(F3:F26)</f>
        <v>896.2</v>
      </c>
      <c r="G27" s="42" t="n">
        <f aca="false">IFERROR(F27/(D27+F27),0)</f>
        <v>0.00995817610482197</v>
      </c>
    </row>
    <row r="30" customFormat="false" ht="15" hidden="false" customHeight="false" outlineLevel="0" collapsed="false">
      <c r="A30" s="24" t="s">
        <v>83</v>
      </c>
      <c r="B30" s="24"/>
      <c r="C30" s="24"/>
      <c r="D30" s="24"/>
      <c r="E30" s="24"/>
      <c r="F30" s="24"/>
    </row>
    <row r="31" customFormat="false" ht="15" hidden="false" customHeight="false" outlineLevel="0" collapsed="false">
      <c r="A31" s="25" t="s">
        <v>36</v>
      </c>
      <c r="B31" s="25"/>
      <c r="C31" s="28"/>
      <c r="D31" s="29" t="s">
        <v>39</v>
      </c>
      <c r="E31" s="29"/>
      <c r="F31" s="29"/>
    </row>
    <row r="32" customFormat="false" ht="15" hidden="false" customHeight="false" outlineLevel="0" collapsed="false">
      <c r="A32" s="25" t="s">
        <v>38</v>
      </c>
      <c r="B32" s="25"/>
      <c r="C32" s="28"/>
      <c r="D32" s="29" t="s">
        <v>39</v>
      </c>
      <c r="E32" s="29"/>
      <c r="F32" s="29"/>
    </row>
    <row r="33" customFormat="false" ht="15" hidden="false" customHeight="false" outlineLevel="0" collapsed="false">
      <c r="A33" s="25" t="s">
        <v>40</v>
      </c>
      <c r="B33" s="25"/>
      <c r="C33" s="28"/>
      <c r="D33" s="29" t="s">
        <v>39</v>
      </c>
      <c r="E33" s="29"/>
      <c r="F33" s="29"/>
    </row>
    <row r="34" customFormat="false" ht="15" hidden="false" customHeight="false" outlineLevel="0" collapsed="false">
      <c r="A34" s="25" t="s">
        <v>41</v>
      </c>
      <c r="B34" s="25"/>
      <c r="C34" s="30" t="str">
        <f aca="false">IFERROR(C33/C32,"")</f>
        <v/>
      </c>
      <c r="D34" s="27" t="s">
        <v>42</v>
      </c>
      <c r="E34" s="27"/>
      <c r="F34" s="27"/>
    </row>
    <row r="35" customFormat="false" ht="15" hidden="false" customHeight="false" outlineLevel="0" collapsed="false">
      <c r="A35" s="25" t="s">
        <v>43</v>
      </c>
      <c r="B35" s="25"/>
      <c r="C35" s="31" t="n">
        <f aca="false">D27</f>
        <v>89100.2</v>
      </c>
      <c r="D35" s="27"/>
      <c r="E35" s="27"/>
      <c r="F35" s="27"/>
    </row>
    <row r="36" customFormat="false" ht="15" hidden="false" customHeight="false" outlineLevel="0" collapsed="false">
      <c r="A36" s="25" t="s">
        <v>44</v>
      </c>
      <c r="B36" s="25"/>
      <c r="C36" s="32" t="n">
        <f aca="false">IFERROR(C33/C35,"")</f>
        <v>0</v>
      </c>
      <c r="D36" s="27" t="s">
        <v>45</v>
      </c>
      <c r="E36" s="27"/>
      <c r="F36" s="27"/>
    </row>
    <row r="38" customFormat="false" ht="15" hidden="false" customHeight="true" outlineLevel="0" collapsed="false">
      <c r="A38" s="33" t="s">
        <v>46</v>
      </c>
      <c r="B38" s="33"/>
      <c r="C38" s="33"/>
      <c r="D38" s="33"/>
      <c r="E38" s="33"/>
      <c r="F38" s="33"/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3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</row>
  </sheetData>
  <mergeCells count="15">
    <mergeCell ref="A1:G1"/>
    <mergeCell ref="A30:F30"/>
    <mergeCell ref="A31:B31"/>
    <mergeCell ref="D31:F31"/>
    <mergeCell ref="A32:B32"/>
    <mergeCell ref="D32:F32"/>
    <mergeCell ref="A33:B33"/>
    <mergeCell ref="D33:F33"/>
    <mergeCell ref="A34:B34"/>
    <mergeCell ref="D34:F34"/>
    <mergeCell ref="A35:B35"/>
    <mergeCell ref="D35:F35"/>
    <mergeCell ref="A36:B36"/>
    <mergeCell ref="D36:F36"/>
    <mergeCell ref="A38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2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8"/>
  </cols>
  <sheetData>
    <row r="1" customFormat="false" ht="24" hidden="false" customHeight="true" outlineLevel="0" collapsed="false">
      <c r="A1" s="2" t="s">
        <v>84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5" t="s">
        <v>85</v>
      </c>
      <c r="B2" s="5" t="s">
        <v>86</v>
      </c>
      <c r="C2" s="5" t="s">
        <v>17</v>
      </c>
      <c r="D2" s="5" t="s">
        <v>19</v>
      </c>
      <c r="E2" s="5" t="s">
        <v>23</v>
      </c>
      <c r="F2" s="5" t="s">
        <v>24</v>
      </c>
      <c r="G2" s="5" t="s">
        <v>87</v>
      </c>
    </row>
    <row r="3" customFormat="false" ht="15" hidden="false" customHeight="true" outlineLevel="0" collapsed="false">
      <c r="A3" s="10" t="s">
        <v>88</v>
      </c>
      <c r="B3" s="38" t="n">
        <v>6</v>
      </c>
      <c r="C3" s="13" t="n">
        <v>2564</v>
      </c>
      <c r="D3" s="13" t="n">
        <v>13191.7</v>
      </c>
      <c r="E3" s="13" t="n">
        <v>127.1</v>
      </c>
      <c r="F3" s="39" t="n">
        <f aca="false">IFERROR(E3/(D3+E3),0)</f>
        <v>0.00954290176292158</v>
      </c>
      <c r="G3" s="12" t="n">
        <f aca="false">IFERROR(D3/89100.25,0)</f>
        <v>0.148054578971439</v>
      </c>
    </row>
    <row r="4" customFormat="false" ht="15" hidden="false" customHeight="true" outlineLevel="0" collapsed="false">
      <c r="A4" s="14" t="s">
        <v>89</v>
      </c>
      <c r="B4" s="40" t="n">
        <v>6</v>
      </c>
      <c r="C4" s="17" t="n">
        <v>1912.4</v>
      </c>
      <c r="D4" s="17" t="n">
        <v>15057.5</v>
      </c>
      <c r="E4" s="17" t="n">
        <v>140.5</v>
      </c>
      <c r="F4" s="41" t="n">
        <f aca="false">IFERROR(E4/(D4+E4),0)</f>
        <v>0.00924463745229636</v>
      </c>
      <c r="G4" s="16" t="n">
        <f aca="false">IFERROR(D4/89100.25,0)</f>
        <v>0.168995036489797</v>
      </c>
    </row>
    <row r="5" customFormat="false" ht="15" hidden="false" customHeight="true" outlineLevel="0" collapsed="false">
      <c r="A5" s="10" t="s">
        <v>90</v>
      </c>
      <c r="B5" s="38" t="n">
        <v>9</v>
      </c>
      <c r="C5" s="13" t="n">
        <v>3364</v>
      </c>
      <c r="D5" s="13" t="n">
        <v>40949.6</v>
      </c>
      <c r="E5" s="13" t="n">
        <v>412</v>
      </c>
      <c r="F5" s="39" t="n">
        <f aca="false">IFERROR(E5/(D5+E5),0)</f>
        <v>0.00996092994468299</v>
      </c>
      <c r="G5" s="12" t="n">
        <f aca="false">IFERROR(D5/89100.25,0)</f>
        <v>0.459590180723399</v>
      </c>
    </row>
    <row r="6" customFormat="false" ht="15" hidden="false" customHeight="true" outlineLevel="0" collapsed="false">
      <c r="A6" s="14" t="s">
        <v>91</v>
      </c>
      <c r="B6" s="40" t="n">
        <v>1</v>
      </c>
      <c r="C6" s="17" t="n">
        <v>354</v>
      </c>
      <c r="D6" s="17" t="n">
        <v>4535.5</v>
      </c>
      <c r="E6" s="17" t="n">
        <v>50.3</v>
      </c>
      <c r="F6" s="41" t="n">
        <f aca="false">IFERROR(E6/(D6+E6),0)</f>
        <v>0.0109686423306729</v>
      </c>
      <c r="G6" s="16" t="n">
        <f aca="false">IFERROR(D6/89100.25,0)</f>
        <v>0.0509033364103917</v>
      </c>
    </row>
    <row r="7" customFormat="false" ht="15" hidden="false" customHeight="true" outlineLevel="0" collapsed="false">
      <c r="A7" s="10" t="s">
        <v>92</v>
      </c>
      <c r="B7" s="38" t="n">
        <v>1</v>
      </c>
      <c r="C7" s="13" t="n">
        <v>421</v>
      </c>
      <c r="D7" s="13" t="n">
        <v>6352.6</v>
      </c>
      <c r="E7" s="13" t="n">
        <v>66.8</v>
      </c>
      <c r="F7" s="39" t="n">
        <f aca="false">IFERROR(E7/(D7+E7),0)</f>
        <v>0.0104059569430165</v>
      </c>
      <c r="G7" s="12" t="n">
        <f aca="false">IFERROR(D7/89100.25,0)</f>
        <v>0.0712972185824395</v>
      </c>
    </row>
    <row r="8" customFormat="false" ht="15" hidden="false" customHeight="true" outlineLevel="0" collapsed="false">
      <c r="A8" s="14" t="s">
        <v>93</v>
      </c>
      <c r="B8" s="40" t="n">
        <v>1</v>
      </c>
      <c r="C8" s="17" t="n">
        <v>444</v>
      </c>
      <c r="D8" s="17" t="n">
        <v>9013.3</v>
      </c>
      <c r="E8" s="17" t="n">
        <v>99.2</v>
      </c>
      <c r="F8" s="41" t="n">
        <f aca="false">IFERROR(E8/(D8+E8),0)</f>
        <v>0.0108861454046639</v>
      </c>
      <c r="G8" s="16" t="n">
        <f aca="false">IFERROR(D8/89100.25,0)</f>
        <v>0.101159087656881</v>
      </c>
    </row>
    <row r="9" customFormat="false" ht="15" hidden="false" customHeight="true" outlineLevel="0" collapsed="false">
      <c r="A9" s="18" t="s">
        <v>33</v>
      </c>
      <c r="B9" s="21" t="n">
        <f aca="false">SUM(B3:B8)</f>
        <v>24</v>
      </c>
      <c r="C9" s="21" t="n">
        <f aca="false">SUM(C3:C8)</f>
        <v>9059.4</v>
      </c>
      <c r="D9" s="21" t="n">
        <f aca="false">SUM(D3:D8)</f>
        <v>89100.2</v>
      </c>
      <c r="E9" s="21" t="n">
        <f aca="false">SUM(E3:E8)</f>
        <v>895.9</v>
      </c>
      <c r="F9" s="42" t="n">
        <f aca="false">IFERROR(E9/(D9+E9),0)</f>
        <v>0.00995487582239675</v>
      </c>
      <c r="G9" s="20" t="n">
        <f aca="false">1</f>
        <v>1</v>
      </c>
    </row>
    <row r="11" customFormat="false" ht="15" hidden="false" customHeight="true" outlineLevel="0" collapsed="false">
      <c r="A11" s="23" t="s">
        <v>94</v>
      </c>
      <c r="B11" s="23"/>
      <c r="C11" s="23"/>
      <c r="D11" s="23"/>
      <c r="E11" s="23"/>
      <c r="F11" s="23"/>
      <c r="G11" s="23"/>
    </row>
  </sheetData>
  <mergeCells count="2">
    <mergeCell ref="A1:G1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3"/>
  </cols>
  <sheetData>
    <row r="1" customFormat="false" ht="24" hidden="false" customHeight="true" outlineLevel="0" collapsed="false">
      <c r="A1" s="2" t="s">
        <v>95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5" t="s">
        <v>57</v>
      </c>
      <c r="B2" s="5" t="s">
        <v>58</v>
      </c>
      <c r="C2" s="5" t="s">
        <v>17</v>
      </c>
      <c r="D2" s="5" t="s">
        <v>19</v>
      </c>
      <c r="E2" s="5" t="s">
        <v>23</v>
      </c>
      <c r="F2" s="5" t="s">
        <v>24</v>
      </c>
      <c r="G2" s="5" t="s">
        <v>96</v>
      </c>
    </row>
    <row r="3" customFormat="false" ht="15" hidden="false" customHeight="true" outlineLevel="0" collapsed="false">
      <c r="A3" s="10" t="s">
        <v>77</v>
      </c>
      <c r="B3" s="38" t="n">
        <v>450</v>
      </c>
      <c r="C3" s="13" t="n">
        <v>444</v>
      </c>
      <c r="D3" s="13" t="n">
        <v>9013.3</v>
      </c>
      <c r="E3" s="13" t="n">
        <v>99.2</v>
      </c>
      <c r="F3" s="39" t="n">
        <f aca="false">IFERROR(E3/(D3+E3),0)</f>
        <v>0.0108861454046639</v>
      </c>
      <c r="G3" s="39" t="n">
        <f aca="false">IFERROR(D3/89100.25,0)</f>
        <v>0.101159087656881</v>
      </c>
    </row>
    <row r="4" customFormat="false" ht="15" hidden="false" customHeight="true" outlineLevel="0" collapsed="false">
      <c r="A4" s="14" t="s">
        <v>81</v>
      </c>
      <c r="B4" s="40" t="n">
        <v>250</v>
      </c>
      <c r="C4" s="17" t="n">
        <v>440</v>
      </c>
      <c r="D4" s="17" t="n">
        <v>6642.8</v>
      </c>
      <c r="E4" s="17" t="n">
        <v>64.4</v>
      </c>
      <c r="F4" s="41" t="n">
        <f aca="false">IFERROR(E4/(D4+E4),0)</f>
        <v>0.00960162213740458</v>
      </c>
      <c r="G4" s="41" t="n">
        <f aca="false">IFERROR(D4/89100.25,0)</f>
        <v>0.0745542240341638</v>
      </c>
    </row>
    <row r="5" customFormat="false" ht="15" hidden="false" customHeight="true" outlineLevel="0" collapsed="false">
      <c r="A5" s="10" t="s">
        <v>78</v>
      </c>
      <c r="B5" s="38" t="n">
        <v>350</v>
      </c>
      <c r="C5" s="13" t="n">
        <v>421</v>
      </c>
      <c r="D5" s="13" t="n">
        <v>6352.6</v>
      </c>
      <c r="E5" s="13" t="n">
        <v>66.8</v>
      </c>
      <c r="F5" s="39" t="n">
        <f aca="false">IFERROR(E5/(D5+E5),0)</f>
        <v>0.0104059569430165</v>
      </c>
      <c r="G5" s="39" t="n">
        <f aca="false">IFERROR(D5/89100.25,0)</f>
        <v>0.0712972185824395</v>
      </c>
    </row>
    <row r="6" customFormat="false" ht="15" hidden="false" customHeight="true" outlineLevel="0" collapsed="false">
      <c r="A6" s="14" t="s">
        <v>82</v>
      </c>
      <c r="B6" s="40" t="n">
        <v>250</v>
      </c>
      <c r="C6" s="17" t="n">
        <v>448</v>
      </c>
      <c r="D6" s="17" t="n">
        <v>6141.6</v>
      </c>
      <c r="E6" s="17" t="n">
        <v>63</v>
      </c>
      <c r="F6" s="41" t="n">
        <f aca="false">IFERROR(E6/(D6+E6),0)</f>
        <v>0.0101537568900493</v>
      </c>
      <c r="G6" s="41" t="n">
        <f aca="false">IFERROR(D6/89100.25,0)</f>
        <v>0.0689290995255344</v>
      </c>
    </row>
    <row r="7" customFormat="false" ht="15" hidden="false" customHeight="true" outlineLevel="0" collapsed="false">
      <c r="A7" s="10" t="s">
        <v>66</v>
      </c>
      <c r="B7" s="38" t="n">
        <v>200</v>
      </c>
      <c r="C7" s="13" t="n">
        <v>447</v>
      </c>
      <c r="D7" s="13" t="n">
        <v>5771.3</v>
      </c>
      <c r="E7" s="13" t="n">
        <v>53.9</v>
      </c>
      <c r="F7" s="39" t="n">
        <f aca="false">IFERROR(E7/(D7+E7),0)</f>
        <v>0.00925290118794205</v>
      </c>
      <c r="G7" s="39" t="n">
        <f aca="false">IFERROR(D7/89100.25,0)</f>
        <v>0.0647731066972315</v>
      </c>
    </row>
    <row r="8" customFormat="false" ht="15" hidden="false" customHeight="true" outlineLevel="0" collapsed="false">
      <c r="A8" s="14" t="s">
        <v>76</v>
      </c>
      <c r="B8" s="40" t="n">
        <v>250</v>
      </c>
      <c r="C8" s="17" t="n">
        <v>454</v>
      </c>
      <c r="D8" s="17" t="n">
        <v>5597.4</v>
      </c>
      <c r="E8" s="17" t="n">
        <v>52.1</v>
      </c>
      <c r="F8" s="41" t="n">
        <f aca="false">IFERROR(E8/(D8+E8),0)</f>
        <v>0.00922205504911939</v>
      </c>
      <c r="G8" s="41" t="n">
        <f aca="false">IFERROR(D8/89100.25,0)</f>
        <v>0.0628213725550714</v>
      </c>
    </row>
    <row r="9" customFormat="false" ht="15" hidden="false" customHeight="true" outlineLevel="0" collapsed="false">
      <c r="A9" s="10" t="s">
        <v>72</v>
      </c>
      <c r="B9" s="38" t="n">
        <v>250</v>
      </c>
      <c r="C9" s="13" t="n">
        <v>459</v>
      </c>
      <c r="D9" s="13" t="n">
        <v>5492.2</v>
      </c>
      <c r="E9" s="13" t="n">
        <v>58</v>
      </c>
      <c r="F9" s="39" t="n">
        <f aca="false">IFERROR(E9/(D9+E9),0)</f>
        <v>0.0104500738712118</v>
      </c>
      <c r="G9" s="39" t="n">
        <f aca="false">IFERROR(D9/89100.25,0)</f>
        <v>0.0616406800205387</v>
      </c>
    </row>
    <row r="10" customFormat="false" ht="15" hidden="false" customHeight="true" outlineLevel="0" collapsed="false">
      <c r="A10" s="14" t="s">
        <v>71</v>
      </c>
      <c r="B10" s="40" t="n">
        <v>250</v>
      </c>
      <c r="C10" s="17" t="n">
        <v>432</v>
      </c>
      <c r="D10" s="17" t="n">
        <v>5255.5</v>
      </c>
      <c r="E10" s="17" t="n">
        <v>55</v>
      </c>
      <c r="F10" s="41" t="n">
        <f aca="false">IFERROR(E10/(D10+E10),0)</f>
        <v>0.0103568402222013</v>
      </c>
      <c r="G10" s="41" t="n">
        <f aca="false">IFERROR(D10/89100.25,0)</f>
        <v>0.05898412181784</v>
      </c>
    </row>
    <row r="11" customFormat="false" ht="15" hidden="false" customHeight="true" outlineLevel="0" collapsed="false">
      <c r="A11" s="10" t="s">
        <v>75</v>
      </c>
      <c r="B11" s="38" t="n">
        <v>250</v>
      </c>
      <c r="C11" s="13" t="n">
        <v>424</v>
      </c>
      <c r="D11" s="13" t="n">
        <v>4723.6</v>
      </c>
      <c r="E11" s="13" t="n">
        <v>45.5</v>
      </c>
      <c r="F11" s="39" t="n">
        <f aca="false">IFERROR(E11/(D11+E11),0)</f>
        <v>0.00954058417730809</v>
      </c>
      <c r="G11" s="39" t="n">
        <f aca="false">IFERROR(D11/89100.25,0)</f>
        <v>0.0530144415980876</v>
      </c>
    </row>
    <row r="12" customFormat="false" ht="15" hidden="false" customHeight="true" outlineLevel="0" collapsed="false">
      <c r="A12" s="14" t="s">
        <v>65</v>
      </c>
      <c r="B12" s="40" t="n">
        <v>275</v>
      </c>
      <c r="C12" s="17" t="n">
        <v>354</v>
      </c>
      <c r="D12" s="17" t="n">
        <v>4535.5</v>
      </c>
      <c r="E12" s="17" t="n">
        <v>50.3</v>
      </c>
      <c r="F12" s="41" t="n">
        <f aca="false">IFERROR(E12/(D12+E12),0)</f>
        <v>0.0109686423306729</v>
      </c>
      <c r="G12" s="41" t="n">
        <f aca="false">IFERROR(D12/89100.25,0)</f>
        <v>0.0509033364103917</v>
      </c>
    </row>
    <row r="13" customFormat="false" ht="15" hidden="false" customHeight="true" outlineLevel="0" collapsed="false">
      <c r="A13" s="10" t="s">
        <v>73</v>
      </c>
      <c r="B13" s="38" t="n">
        <v>250</v>
      </c>
      <c r="C13" s="13" t="n">
        <v>420</v>
      </c>
      <c r="D13" s="13" t="n">
        <v>4212.8</v>
      </c>
      <c r="E13" s="13" t="n">
        <v>44.2</v>
      </c>
      <c r="F13" s="39" t="n">
        <f aca="false">IFERROR(E13/(D13+E13),0)</f>
        <v>0.0103828987549918</v>
      </c>
      <c r="G13" s="39" t="n">
        <f aca="false">IFERROR(D13/89100.25,0)</f>
        <v>0.0472815732840256</v>
      </c>
    </row>
    <row r="14" customFormat="false" ht="15" hidden="false" customHeight="true" outlineLevel="0" collapsed="false">
      <c r="A14" s="14" t="s">
        <v>61</v>
      </c>
      <c r="B14" s="40" t="n">
        <v>150</v>
      </c>
      <c r="C14" s="17" t="n">
        <v>440</v>
      </c>
      <c r="D14" s="17" t="n">
        <v>3104.3</v>
      </c>
      <c r="E14" s="17" t="n">
        <v>30.7</v>
      </c>
      <c r="F14" s="41" t="n">
        <f aca="false">IFERROR(E14/(D14+E14),0)</f>
        <v>0.009792663476874</v>
      </c>
      <c r="G14" s="41" t="n">
        <f aca="false">IFERROR(D14/89100.25,0)</f>
        <v>0.0348405307504749</v>
      </c>
    </row>
    <row r="15" customFormat="false" ht="15" hidden="false" customHeight="true" outlineLevel="0" collapsed="false">
      <c r="A15" s="10" t="s">
        <v>60</v>
      </c>
      <c r="B15" s="38" t="n">
        <v>150</v>
      </c>
      <c r="C15" s="13" t="n">
        <v>431</v>
      </c>
      <c r="D15" s="13" t="n">
        <v>2654.2</v>
      </c>
      <c r="E15" s="13" t="n">
        <v>25.2</v>
      </c>
      <c r="F15" s="39" t="n">
        <f aca="false">IFERROR(E15/(D15+E15),0)</f>
        <v>0.00940509069194596</v>
      </c>
      <c r="G15" s="39" t="n">
        <f aca="false">IFERROR(D15/89100.25,0)</f>
        <v>0.0297889175395131</v>
      </c>
    </row>
    <row r="16" customFormat="false" ht="15" hidden="false" customHeight="true" outlineLevel="0" collapsed="false">
      <c r="A16" s="14" t="s">
        <v>64</v>
      </c>
      <c r="B16" s="40" t="n">
        <v>150</v>
      </c>
      <c r="C16" s="17" t="n">
        <v>474</v>
      </c>
      <c r="D16" s="17" t="n">
        <v>2617.9</v>
      </c>
      <c r="E16" s="17" t="n">
        <v>25.7</v>
      </c>
      <c r="F16" s="41" t="n">
        <f aca="false">IFERROR(E16/(D16+E16),0)</f>
        <v>0.00972159176880012</v>
      </c>
      <c r="G16" s="41" t="n">
        <f aca="false">IFERROR(D16/89100.25,0)</f>
        <v>0.0293815112752209</v>
      </c>
    </row>
    <row r="17" customFormat="false" ht="15" hidden="false" customHeight="true" outlineLevel="0" collapsed="false">
      <c r="A17" s="10" t="s">
        <v>68</v>
      </c>
      <c r="B17" s="38" t="n">
        <v>200</v>
      </c>
      <c r="C17" s="13" t="n">
        <v>417.5</v>
      </c>
      <c r="D17" s="13" t="n">
        <v>2550.3</v>
      </c>
      <c r="E17" s="13" t="n">
        <v>23.4</v>
      </c>
      <c r="F17" s="39" t="n">
        <f aca="false">IFERROR(E17/(D17+E17),0)</f>
        <v>0.00909196876092785</v>
      </c>
      <c r="G17" s="39" t="n">
        <f aca="false">IFERROR(D17/89100.25,0)</f>
        <v>0.028622815311966</v>
      </c>
    </row>
    <row r="18" customFormat="false" ht="15" hidden="false" customHeight="true" outlineLevel="0" collapsed="false">
      <c r="A18" s="14" t="s">
        <v>67</v>
      </c>
      <c r="B18" s="40" t="n">
        <v>200</v>
      </c>
      <c r="C18" s="17" t="n">
        <v>308</v>
      </c>
      <c r="D18" s="17" t="n">
        <v>2354.6</v>
      </c>
      <c r="E18" s="17" t="n">
        <v>22.6</v>
      </c>
      <c r="F18" s="41" t="n">
        <f aca="false">IFERROR(E18/(D18+E18),0)</f>
        <v>0.00950698300521622</v>
      </c>
      <c r="G18" s="41" t="n">
        <f aca="false">IFERROR(D18/89100.25,0)</f>
        <v>0.0264264129449693</v>
      </c>
    </row>
    <row r="19" customFormat="false" ht="15" hidden="false" customHeight="true" outlineLevel="0" collapsed="false">
      <c r="A19" s="10" t="s">
        <v>63</v>
      </c>
      <c r="B19" s="38" t="n">
        <v>150</v>
      </c>
      <c r="C19" s="13" t="n">
        <v>466</v>
      </c>
      <c r="D19" s="13" t="n">
        <v>2152.4</v>
      </c>
      <c r="E19" s="13" t="n">
        <v>20.9</v>
      </c>
      <c r="F19" s="39" t="n">
        <f aca="false">IFERROR(E19/(D19+E19),0)</f>
        <v>0.0096167119127594</v>
      </c>
      <c r="G19" s="39" t="n">
        <f aca="false">IFERROR(D19/89100.25,0)</f>
        <v>0.0241570590430442</v>
      </c>
    </row>
    <row r="20" customFormat="false" ht="15" hidden="false" customHeight="true" outlineLevel="0" collapsed="false">
      <c r="A20" s="14" t="s">
        <v>69</v>
      </c>
      <c r="B20" s="40" t="n">
        <v>150</v>
      </c>
      <c r="C20" s="17" t="n">
        <v>394</v>
      </c>
      <c r="D20" s="17" t="n">
        <v>2095.9</v>
      </c>
      <c r="E20" s="17" t="n">
        <v>19.7</v>
      </c>
      <c r="F20" s="41" t="n">
        <f aca="false">IFERROR(E20/(D20+E20),0)</f>
        <v>0.00931177916430327</v>
      </c>
      <c r="G20" s="41" t="n">
        <f aca="false">IFERROR(D20/89100.25,0)</f>
        <v>0.0235229418548208</v>
      </c>
    </row>
    <row r="21" customFormat="false" ht="15" hidden="false" customHeight="true" outlineLevel="0" collapsed="false">
      <c r="A21" s="10" t="s">
        <v>74</v>
      </c>
      <c r="B21" s="38" t="n">
        <v>250</v>
      </c>
      <c r="C21" s="13" t="n">
        <v>148</v>
      </c>
      <c r="D21" s="13" t="n">
        <v>1979.3</v>
      </c>
      <c r="E21" s="13" t="n">
        <v>20.4</v>
      </c>
      <c r="F21" s="39" t="n">
        <f aca="false">IFERROR(E21/(D21+E21),0)</f>
        <v>0.0102015302295344</v>
      </c>
      <c r="G21" s="39" t="n">
        <f aca="false">IFERROR(D21/89100.25,0)</f>
        <v>0.0222143035513368</v>
      </c>
    </row>
    <row r="22" customFormat="false" ht="15" hidden="false" customHeight="true" outlineLevel="0" collapsed="false">
      <c r="A22" s="14" t="s">
        <v>70</v>
      </c>
      <c r="B22" s="40" t="n">
        <v>200</v>
      </c>
      <c r="C22" s="17" t="n">
        <v>255</v>
      </c>
      <c r="D22" s="17" t="n">
        <v>1934.1</v>
      </c>
      <c r="E22" s="17" t="n">
        <v>15.3</v>
      </c>
      <c r="F22" s="41" t="n">
        <f aca="false">IFERROR(E22/(D22+E22),0)</f>
        <v>0.00784856879039705</v>
      </c>
      <c r="G22" s="41" t="n">
        <f aca="false">IFERROR(D22/89100.25,0)</f>
        <v>0.0217070098007581</v>
      </c>
    </row>
    <row r="23" customFormat="false" ht="15" hidden="false" customHeight="true" outlineLevel="0" collapsed="false">
      <c r="A23" s="10" t="s">
        <v>80</v>
      </c>
      <c r="B23" s="38" t="n">
        <v>200</v>
      </c>
      <c r="C23" s="13" t="n">
        <v>354</v>
      </c>
      <c r="D23" s="13" t="n">
        <v>1903</v>
      </c>
      <c r="E23" s="13" t="n">
        <v>20.6</v>
      </c>
      <c r="F23" s="39" t="n">
        <f aca="false">IFERROR(E23/(D23+E23),0)</f>
        <v>0.0107090871283011</v>
      </c>
      <c r="G23" s="39" t="n">
        <f aca="false">IFERROR(D23/89100.25,0)</f>
        <v>0.0213579647644086</v>
      </c>
    </row>
    <row r="24" customFormat="false" ht="15" hidden="false" customHeight="true" outlineLevel="0" collapsed="false">
      <c r="A24" s="14" t="s">
        <v>79</v>
      </c>
      <c r="B24" s="40" t="n">
        <v>250</v>
      </c>
      <c r="C24" s="17" t="n">
        <v>139</v>
      </c>
      <c r="D24" s="17" t="n">
        <v>904.4</v>
      </c>
      <c r="E24" s="17" t="n">
        <v>9.6</v>
      </c>
      <c r="F24" s="41" t="n">
        <f aca="false">IFERROR(E24/(D24+E24),0)</f>
        <v>0.0105032822757112</v>
      </c>
      <c r="G24" s="41" t="n">
        <f aca="false">IFERROR(D24/89100.25,0)</f>
        <v>0.0101503643368004</v>
      </c>
    </row>
    <row r="25" customFormat="false" ht="15" hidden="false" customHeight="true" outlineLevel="0" collapsed="false">
      <c r="A25" s="10" t="s">
        <v>62</v>
      </c>
      <c r="B25" s="38" t="n">
        <v>150</v>
      </c>
      <c r="C25" s="13" t="n">
        <v>359</v>
      </c>
      <c r="D25" s="13" t="n">
        <v>567</v>
      </c>
      <c r="E25" s="13" t="n">
        <v>5</v>
      </c>
      <c r="F25" s="39" t="n">
        <f aca="false">IFERROR(E25/(D25+E25),0)</f>
        <v>0.00874125874125874</v>
      </c>
      <c r="G25" s="39" t="n">
        <f aca="false">IFERROR(D25/89100.25,0)</f>
        <v>0.00636361850836558</v>
      </c>
    </row>
    <row r="26" customFormat="false" ht="15" hidden="false" customHeight="true" outlineLevel="0" collapsed="false">
      <c r="A26" s="14" t="s">
        <v>59</v>
      </c>
      <c r="B26" s="40" t="n">
        <v>200</v>
      </c>
      <c r="C26" s="17" t="n">
        <v>130.9</v>
      </c>
      <c r="D26" s="17" t="n">
        <v>544.2</v>
      </c>
      <c r="E26" s="17" t="n">
        <v>4.7</v>
      </c>
      <c r="F26" s="41" t="n">
        <f aca="false">IFERROR(E26/(D26+E26),0)</f>
        <v>0.00856257970486427</v>
      </c>
      <c r="G26" s="41" t="n">
        <f aca="false">IFERROR(D26/89100.25,0)</f>
        <v>0.00610772697046305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4"/>
    <col collapsed="false" customWidth="true" hidden="false" outlineLevel="0" max="5" min="5" style="1" width="16"/>
  </cols>
  <sheetData>
    <row r="1" customFormat="false" ht="24" hidden="false" customHeight="true" outlineLevel="0" collapsed="false">
      <c r="A1" s="34" t="s">
        <v>97</v>
      </c>
      <c r="B1" s="34"/>
      <c r="C1" s="34"/>
      <c r="D1" s="34"/>
      <c r="E1" s="34"/>
    </row>
    <row r="2" customFormat="false" ht="15" hidden="false" customHeight="true" outlineLevel="0" collapsed="false">
      <c r="A2" s="5" t="s">
        <v>98</v>
      </c>
      <c r="B2" s="5" t="s">
        <v>99</v>
      </c>
      <c r="C2" s="5" t="s">
        <v>100</v>
      </c>
      <c r="D2" s="5" t="s">
        <v>101</v>
      </c>
      <c r="E2" s="5" t="s">
        <v>102</v>
      </c>
    </row>
    <row r="3" customFormat="false" ht="15" hidden="false" customHeight="true" outlineLevel="0" collapsed="false">
      <c r="A3" s="10" t="s">
        <v>103</v>
      </c>
      <c r="B3" s="11" t="n">
        <v>0</v>
      </c>
      <c r="C3" s="11" t="n">
        <v>0</v>
      </c>
      <c r="D3" s="11" t="n">
        <v>0</v>
      </c>
      <c r="E3" s="12" t="n">
        <f aca="false">IFERROR(D3/60928,0)</f>
        <v>0</v>
      </c>
    </row>
    <row r="4" customFormat="false" ht="15" hidden="false" customHeight="true" outlineLevel="0" collapsed="false">
      <c r="A4" s="14" t="s">
        <v>104</v>
      </c>
      <c r="B4" s="15" t="n">
        <v>4004</v>
      </c>
      <c r="C4" s="15" t="n">
        <v>118870</v>
      </c>
      <c r="D4" s="15" t="n">
        <v>22940</v>
      </c>
      <c r="E4" s="16" t="n">
        <f aca="false">IFERROR(D4/60928,0)</f>
        <v>0.376509978991597</v>
      </c>
    </row>
    <row r="5" customFormat="false" ht="15" hidden="false" customHeight="true" outlineLevel="0" collapsed="false">
      <c r="A5" s="10" t="s">
        <v>105</v>
      </c>
      <c r="B5" s="11" t="n">
        <v>5053</v>
      </c>
      <c r="C5" s="11" t="n">
        <v>144045</v>
      </c>
      <c r="D5" s="11" t="n">
        <v>32306</v>
      </c>
      <c r="E5" s="12" t="n">
        <f aca="false">IFERROR(D5/60928,0)</f>
        <v>0.530232405462185</v>
      </c>
    </row>
    <row r="6" customFormat="false" ht="15" hidden="false" customHeight="true" outlineLevel="0" collapsed="false">
      <c r="A6" s="14" t="s">
        <v>106</v>
      </c>
      <c r="B6" s="15" t="n">
        <v>921</v>
      </c>
      <c r="C6" s="15" t="n">
        <v>26580</v>
      </c>
      <c r="D6" s="15" t="n">
        <v>5682</v>
      </c>
      <c r="E6" s="16" t="n">
        <f aca="false">IFERROR(D6/60928,0)</f>
        <v>0.0932576155462185</v>
      </c>
    </row>
    <row r="7" customFormat="false" ht="15" hidden="false" customHeight="true" outlineLevel="0" collapsed="false">
      <c r="A7" s="18" t="s">
        <v>33</v>
      </c>
      <c r="B7" s="19" t="n">
        <f aca="false">SUM(B3:B6)</f>
        <v>9978</v>
      </c>
      <c r="C7" s="19" t="n">
        <f aca="false">SUM(C3:C6)</f>
        <v>289495</v>
      </c>
      <c r="D7" s="19" t="n">
        <f aca="false">SUM(D3:D6)</f>
        <v>60928</v>
      </c>
      <c r="E7" s="20" t="n">
        <f aca="false">1</f>
        <v>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5" min="2" style="1" width="12"/>
  </cols>
  <sheetData>
    <row r="1" customFormat="false" ht="24" hidden="false" customHeight="true" outlineLevel="0" collapsed="false">
      <c r="A1" s="34" t="s">
        <v>107</v>
      </c>
      <c r="B1" s="34"/>
      <c r="C1" s="34"/>
      <c r="D1" s="34"/>
      <c r="E1" s="34"/>
    </row>
    <row r="3" customFormat="false" ht="15" hidden="false" customHeight="true" outlineLevel="0" collapsed="false">
      <c r="A3" s="43" t="s">
        <v>108</v>
      </c>
      <c r="B3" s="43"/>
      <c r="C3" s="43"/>
      <c r="D3" s="43"/>
      <c r="E3" s="43"/>
    </row>
    <row r="4" customFormat="false" ht="15" hidden="false" customHeight="true" outlineLevel="0" collapsed="false">
      <c r="A4" s="43"/>
      <c r="B4" s="43"/>
      <c r="C4" s="43"/>
      <c r="D4" s="43"/>
      <c r="E4" s="43"/>
    </row>
    <row r="5" customFormat="false" ht="15" hidden="false" customHeight="true" outlineLevel="0" collapsed="false">
      <c r="A5" s="43"/>
      <c r="B5" s="43"/>
      <c r="C5" s="43"/>
      <c r="D5" s="43"/>
      <c r="E5" s="43"/>
    </row>
  </sheetData>
  <mergeCells count="2">
    <mergeCell ref="A1:E1"/>
    <mergeCell ref="A3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2026-07-01T01:43:36Z</dcterms:created>
  <dc:creator>openpyxl</dc:creator>
  <dc:description/>
  <dc:language>en-US</dc:language>
  <cp:lastModifiedBy/>
  <dcterms:modified xsi:type="dcterms:W3CDTF">2026-07-01T02:24:19Z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
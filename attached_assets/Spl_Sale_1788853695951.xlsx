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ayag\Corrected DATA\PP Sep 2026\Plumbing\"/>
    </mc:Choice>
  </mc:AlternateContent>
  <xr:revisionPtr revIDLastSave="0" documentId="13_ncr:1_{63A6A98B-DDDA-4487-8152-FD00E396D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ng Prod." sheetId="3" r:id="rId1"/>
  </sheets>
  <externalReferences>
    <externalReference r:id="rId2"/>
  </externalReferences>
  <definedNames>
    <definedName name="_xlnm._FilterDatabase" localSheetId="0" hidden="1">'Pending Prod.'!$A$1:$G$226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1" i="3" l="1"/>
  <c r="F234" i="3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8" i="3"/>
  <c r="G218" i="3" s="1"/>
  <c r="F217" i="3"/>
  <c r="G217" i="3" s="1"/>
  <c r="F216" i="3"/>
  <c r="G216" i="3" s="1"/>
  <c r="F214" i="3"/>
  <c r="G214" i="3" s="1"/>
  <c r="F213" i="3"/>
  <c r="G213" i="3" s="1"/>
  <c r="F212" i="3"/>
  <c r="G212" i="3" s="1"/>
  <c r="F211" i="3"/>
  <c r="G211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3" i="3"/>
  <c r="G183" i="3" s="1"/>
  <c r="F182" i="3"/>
  <c r="G182" i="3" s="1"/>
  <c r="F181" i="3"/>
  <c r="G181" i="3" s="1"/>
  <c r="F179" i="3"/>
  <c r="G179" i="3" s="1"/>
  <c r="F178" i="3"/>
  <c r="G178" i="3" s="1"/>
  <c r="F177" i="3"/>
  <c r="G177" i="3" s="1"/>
  <c r="F176" i="3"/>
  <c r="G176" i="3" s="1"/>
  <c r="G215" i="3" l="1"/>
  <c r="G219" i="3"/>
  <c r="G226" i="3"/>
  <c r="G180" i="3"/>
  <c r="G184" i="3"/>
  <c r="G210" i="3"/>
  <c r="F3" i="3" l="1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70" i="3"/>
  <c r="G170" i="3" s="1"/>
  <c r="F171" i="3"/>
  <c r="G171" i="3" s="1"/>
  <c r="F172" i="3"/>
  <c r="G172" i="3" s="1"/>
  <c r="F173" i="3"/>
  <c r="G173" i="3" s="1"/>
  <c r="F174" i="3"/>
  <c r="G174" i="3" s="1"/>
  <c r="F2" i="3"/>
  <c r="G2" i="3" s="1"/>
  <c r="G137" i="3" l="1"/>
  <c r="G101" i="3"/>
  <c r="G175" i="3"/>
  <c r="G169" i="3"/>
  <c r="G44" i="3"/>
</calcChain>
</file>

<file path=xl/sharedStrings.xml><?xml version="1.0" encoding="utf-8"?>
<sst xmlns="http://schemas.openxmlformats.org/spreadsheetml/2006/main" count="643" uniqueCount="423">
  <si>
    <t>Item Code</t>
  </si>
  <si>
    <t>Item Name</t>
  </si>
  <si>
    <t>Category</t>
  </si>
  <si>
    <t>Packing</t>
  </si>
  <si>
    <t>Net Stock</t>
  </si>
  <si>
    <t>Total weight</t>
  </si>
  <si>
    <t>CPVC-PIPE</t>
  </si>
  <si>
    <t>PS-2</t>
  </si>
  <si>
    <t>3/4" CPVC SDR 11 CLASS 1</t>
  </si>
  <si>
    <t>PS-3</t>
  </si>
  <si>
    <t>1" CPVC SDR 11 CLASS 1</t>
  </si>
  <si>
    <t>PS-13</t>
  </si>
  <si>
    <t>1" CPVC SDR 13.5 CLASS 2</t>
  </si>
  <si>
    <t>PS-2S</t>
  </si>
  <si>
    <t>CPVC-FG</t>
  </si>
  <si>
    <t>CM21</t>
  </si>
  <si>
    <t>3/4" X 1/2" CPVC BRASS WALL MIXTURE INLET UPPER</t>
  </si>
  <si>
    <t>CM26</t>
  </si>
  <si>
    <t>3/4" X 1/2" CPVC BRASS WALL KITCHEN MIXTURE</t>
  </si>
  <si>
    <t>C23</t>
  </si>
  <si>
    <t>1" CPVC CTS BALL VALVE</t>
  </si>
  <si>
    <t>C25</t>
  </si>
  <si>
    <t>1-1/2" CPVC CTS BALL VALVE</t>
  </si>
  <si>
    <t>C25L</t>
  </si>
  <si>
    <t>1-1/2" CPVC CTS  BALL VALVE WITH LEVER HANDEL</t>
  </si>
  <si>
    <t>C33</t>
  </si>
  <si>
    <t>1" CPVC UNION</t>
  </si>
  <si>
    <t>C34</t>
  </si>
  <si>
    <t>1-1/4" CPVC UNION</t>
  </si>
  <si>
    <t>C44</t>
  </si>
  <si>
    <t>1-1/4" CPVC COUPLING</t>
  </si>
  <si>
    <t>C56</t>
  </si>
  <si>
    <t>2" CPVC 90 DEG ELBOW(NEW)</t>
  </si>
  <si>
    <t>C74</t>
  </si>
  <si>
    <t>1-1/4" CPVC MALE ADAPTER BRASS THD</t>
  </si>
  <si>
    <t>C90</t>
  </si>
  <si>
    <t>3/4"X1/2" FEMALE ADAPTER PLASTIC THD</t>
  </si>
  <si>
    <t>C105</t>
  </si>
  <si>
    <t>1-1/2" CPVC MALE ADAPTER PLASTIC THD (BSPT)</t>
  </si>
  <si>
    <t>C232</t>
  </si>
  <si>
    <t>1" X 3/4" CPVC RED. TEE</t>
  </si>
  <si>
    <t>C243</t>
  </si>
  <si>
    <t>1-1/4" X 1"  CPVC RED. TEE</t>
  </si>
  <si>
    <t>C273N</t>
  </si>
  <si>
    <t>1" CPVC THREDED TANK NIPPLE</t>
  </si>
  <si>
    <t>C275N</t>
  </si>
  <si>
    <t>1-1/2" CPVC THREDED TANK NIPPLE</t>
  </si>
  <si>
    <t>C273</t>
  </si>
  <si>
    <t>1" CPVC TANK NIPPLE</t>
  </si>
  <si>
    <t>3/4" CROSS TEE</t>
  </si>
  <si>
    <t>1" CROSS TEE</t>
  </si>
  <si>
    <t>C521</t>
  </si>
  <si>
    <t>3/4" X 1/2" CPVC BRASS FPT 90 DEG. ELBOW(NEW)</t>
  </si>
  <si>
    <t>C523</t>
  </si>
  <si>
    <t>1"X1/2" CPVC BRASS FPT 90 DEG.ELBOW</t>
  </si>
  <si>
    <t>C532</t>
  </si>
  <si>
    <t>1"X3/4" RED.90° ELBOW</t>
  </si>
  <si>
    <t>C602</t>
  </si>
  <si>
    <t>3/4" CPVC CAP</t>
  </si>
  <si>
    <t>C930</t>
  </si>
  <si>
    <t>1" X 1/2" CPVC RED.BRASS COUPLING</t>
  </si>
  <si>
    <t>C940</t>
  </si>
  <si>
    <t>1" X 3/4" CPVC RED.BRASS COUPLING</t>
  </si>
  <si>
    <t>CH72</t>
  </si>
  <si>
    <t>3/4" CPVC TRIANGULAR CONCEALED VALVE</t>
  </si>
  <si>
    <t>CH72F</t>
  </si>
  <si>
    <t>CH76</t>
  </si>
  <si>
    <t>3/4" CPVC MACASA-CONCEALED VALVE</t>
  </si>
  <si>
    <t>CH78</t>
  </si>
  <si>
    <t>3/4" CPVC URBONA-CONCEALED VALVE</t>
  </si>
  <si>
    <t>CH79</t>
  </si>
  <si>
    <t>3/4" CPVC SAGA-CONCEALED VALVE</t>
  </si>
  <si>
    <t>CH80</t>
  </si>
  <si>
    <t>3/4" CPVC VIVA-CONCEALED VALVE</t>
  </si>
  <si>
    <t>CH80F</t>
  </si>
  <si>
    <t>CH80QS</t>
  </si>
  <si>
    <t>C252</t>
  </si>
  <si>
    <t>1-1/2X3/4" RED TEE</t>
  </si>
  <si>
    <t>C263</t>
  </si>
  <si>
    <t>2X1" RED TEE</t>
  </si>
  <si>
    <t>C264</t>
  </si>
  <si>
    <t>2X1-1/4" RED TEE</t>
  </si>
  <si>
    <t>C963</t>
  </si>
  <si>
    <t>2X1" RED COUPLER</t>
  </si>
  <si>
    <t>C964</t>
  </si>
  <si>
    <t>2X1-1/4 RED COUPLER</t>
  </si>
  <si>
    <t>C965</t>
  </si>
  <si>
    <t>2X1-1/2" RED COUPLER</t>
  </si>
  <si>
    <t>C15</t>
  </si>
  <si>
    <t>1-1/2"SOB</t>
  </si>
  <si>
    <t>CH24</t>
  </si>
  <si>
    <t>1-1/4" CPVC BALL VALVE HANDLE</t>
  </si>
  <si>
    <t>CPVC-TRADING</t>
  </si>
  <si>
    <t>S3</t>
  </si>
  <si>
    <t>CPVC SOLVENT CEMENT 59 ML TIN</t>
  </si>
  <si>
    <t>S4</t>
  </si>
  <si>
    <t>04 OZ/118 ML TINS</t>
  </si>
  <si>
    <t>PC24</t>
  </si>
  <si>
    <t>1-1/4" HEAVY SADDLE WITH POWDER COATING</t>
  </si>
  <si>
    <t>UPVC-PIPE</t>
  </si>
  <si>
    <t>PU-11</t>
  </si>
  <si>
    <t>1/2" UPVC PIPE SCH 40</t>
  </si>
  <si>
    <t>1" UPVC PIPE SCH 40</t>
  </si>
  <si>
    <t>PU-14</t>
  </si>
  <si>
    <t>1-1/4" UPVC PIPE SCH 40</t>
  </si>
  <si>
    <t>PU-13S</t>
  </si>
  <si>
    <t>UPVC-FG</t>
  </si>
  <si>
    <t>U13</t>
  </si>
  <si>
    <t>1" UPVC STEP OVER BEND</t>
  </si>
  <si>
    <t>U23</t>
  </si>
  <si>
    <t>1" UPVC  BALL VALVE</t>
  </si>
  <si>
    <t>U22-L</t>
  </si>
  <si>
    <t>3/4" UPVC  BALL VALVE WITH LEVER HANDEL</t>
  </si>
  <si>
    <t>1" UPVC  BALL VALVE WITH LEVER HANDEL</t>
  </si>
  <si>
    <t>1-1/4"UPVC  BALL VALVE WITH LEVER HANDEL</t>
  </si>
  <si>
    <t>U22NL</t>
  </si>
  <si>
    <t>U23NL</t>
  </si>
  <si>
    <t>U24NL</t>
  </si>
  <si>
    <t>U31</t>
  </si>
  <si>
    <t>1/2" UPVC UNION</t>
  </si>
  <si>
    <t>U33</t>
  </si>
  <si>
    <t>1" UPVC UNION</t>
  </si>
  <si>
    <t>U34</t>
  </si>
  <si>
    <t>1-1/4" UPVC UNION</t>
  </si>
  <si>
    <t>U41</t>
  </si>
  <si>
    <t>1/2" UPVC COUPLING</t>
  </si>
  <si>
    <t>U42</t>
  </si>
  <si>
    <t>3/4" UPVC COUPLING</t>
  </si>
  <si>
    <t>U43</t>
  </si>
  <si>
    <t>1" UPVC COUPLING</t>
  </si>
  <si>
    <t>U44</t>
  </si>
  <si>
    <t>1-1/4" UPVC COUPLING</t>
  </si>
  <si>
    <t>U45</t>
  </si>
  <si>
    <t>1-1/2" UPVC COUPLING</t>
  </si>
  <si>
    <t>U51</t>
  </si>
  <si>
    <t>1/2" UPVC 90 DEG ELBOW (NEW)</t>
  </si>
  <si>
    <t>U53</t>
  </si>
  <si>
    <t>1" UPVC  90 DEG ELBOW(NEW)</t>
  </si>
  <si>
    <t>U54</t>
  </si>
  <si>
    <t>1-1/4" UPVC 90 DEG ELBOW(NEW)</t>
  </si>
  <si>
    <t>U55</t>
  </si>
  <si>
    <t>1-1/2" UPVC 90 DEG ELBOW(NEW)</t>
  </si>
  <si>
    <t>U61</t>
  </si>
  <si>
    <t>1/2" UPVC TEE</t>
  </si>
  <si>
    <t>U63</t>
  </si>
  <si>
    <t>1" UPVC TEE</t>
  </si>
  <si>
    <t>U65</t>
  </si>
  <si>
    <t>1-1/2" UPVC TEE</t>
  </si>
  <si>
    <t>U71</t>
  </si>
  <si>
    <t>1/2" UPVC MALE ADAPTER BRASS THD</t>
  </si>
  <si>
    <t>U75</t>
  </si>
  <si>
    <t>1-1/2" UPVC MALE ADAPTER BRASS THD</t>
  </si>
  <si>
    <t>U81</t>
  </si>
  <si>
    <t>1/2" UPVC FEMALE ADAPTER BRASS THD</t>
  </si>
  <si>
    <t>U82</t>
  </si>
  <si>
    <t>3/4" UPVC FEMALE ADAPTER BRASS THD</t>
  </si>
  <si>
    <t>U83</t>
  </si>
  <si>
    <t>1" UPVC FEMALE ADAPTER BRASS THD</t>
  </si>
  <si>
    <t>U84</t>
  </si>
  <si>
    <t>1-1/4" UPVC FEMALE ADAPTER BRASS THD</t>
  </si>
  <si>
    <t>U94</t>
  </si>
  <si>
    <t>1-1/4" UPVC  FEMALE ADAPTER PLASTIC  THD</t>
  </si>
  <si>
    <t>U102</t>
  </si>
  <si>
    <t>3/4" UPVC MALE ADAPTER PLASTIC THD</t>
  </si>
  <si>
    <t>U104</t>
  </si>
  <si>
    <t>1-1/4" UPVC MALE ADAPTER PLASTIC THD</t>
  </si>
  <si>
    <t>U273</t>
  </si>
  <si>
    <t>1" UPVC TANK NIPPLE</t>
  </si>
  <si>
    <t>U274</t>
  </si>
  <si>
    <t>1-1/4" UPVC TANK NIPPLE</t>
  </si>
  <si>
    <t>U273N</t>
  </si>
  <si>
    <t>1" UPVC THREDED TANK NIPPLE</t>
  </si>
  <si>
    <t>U310</t>
  </si>
  <si>
    <t>1/2" CROSS TEE</t>
  </si>
  <si>
    <t>U320</t>
  </si>
  <si>
    <t>U330</t>
  </si>
  <si>
    <t>U322</t>
  </si>
  <si>
    <t>3/4" X 1/2" UPVC RED. BRASS FPT TEE</t>
  </si>
  <si>
    <t>U323</t>
  </si>
  <si>
    <t>1" X 1/2" UPVC RED. BRASS FPT TEE</t>
  </si>
  <si>
    <t>U503</t>
  </si>
  <si>
    <t>1" 45° ELBW</t>
  </si>
  <si>
    <t>U523</t>
  </si>
  <si>
    <t>1" X 1/2" UPVC BRASS FPT 90 DEG. ELBOW</t>
  </si>
  <si>
    <t>U526</t>
  </si>
  <si>
    <t>1/2" UPVC BRASS FPT 90 DEG.ELBOW</t>
  </si>
  <si>
    <t>U527</t>
  </si>
  <si>
    <t>3/4" UPVC BRASS FPT 90 DEG.ELBOW</t>
  </si>
  <si>
    <t>U731</t>
  </si>
  <si>
    <t>1"X1/2" MTA</t>
  </si>
  <si>
    <t>U843</t>
  </si>
  <si>
    <t>1-1/4" X 1" UPVC  RED. BUSHING</t>
  </si>
  <si>
    <t>U851</t>
  </si>
  <si>
    <t>1-1/2" X 1/2" UPVC  RED. BUSHING</t>
  </si>
  <si>
    <t>U862</t>
  </si>
  <si>
    <t>2" X 3/4" UPVC  RED. BUSHING</t>
  </si>
  <si>
    <t>U932</t>
  </si>
  <si>
    <t>1" X 3/4" UPVC RED. COUPLING</t>
  </si>
  <si>
    <t>UH76-S</t>
  </si>
  <si>
    <t>3/4" UPVC  MACASA-CONCEALED VALVE</t>
  </si>
  <si>
    <t>U14</t>
  </si>
  <si>
    <t>1-1/4" STEP OVER BEND</t>
  </si>
  <si>
    <t>U964</t>
  </si>
  <si>
    <t>2"X1-1/4" RED. COUPLING</t>
  </si>
  <si>
    <t>U272N</t>
  </si>
  <si>
    <t>3/4" TANK NIPPLE NEW</t>
  </si>
  <si>
    <t>U538</t>
  </si>
  <si>
    <t>1-1/2"X1" RED. 90° ELBOW</t>
  </si>
  <si>
    <t>U505</t>
  </si>
  <si>
    <t>1-1/2" 45° ELBOW</t>
  </si>
  <si>
    <t>U340</t>
  </si>
  <si>
    <t>1-1/4" CROSS TEE</t>
  </si>
  <si>
    <t>U961</t>
  </si>
  <si>
    <t>2"X1/2" RED. COUPLING</t>
  </si>
  <si>
    <t>PW11</t>
  </si>
  <si>
    <t>SWR PIPE S/S  110 MM (3 METER-A)</t>
  </si>
  <si>
    <t>SWR-PIPE</t>
  </si>
  <si>
    <t>PW12</t>
  </si>
  <si>
    <t>SWR PIPE D/S  110 MM (3 METER-A)</t>
  </si>
  <si>
    <t>PW13</t>
  </si>
  <si>
    <t>SWR PIPE S/S  110 MM (6 METER-A)</t>
  </si>
  <si>
    <t>PW14</t>
  </si>
  <si>
    <t>SWR PIPE D/S  110 MM (6 METER-A)</t>
  </si>
  <si>
    <t>PW16</t>
  </si>
  <si>
    <t>SWR PIPE D/S  110 MM (3 FEET-A)</t>
  </si>
  <si>
    <t>PW17</t>
  </si>
  <si>
    <t>SWR PIPE D/S  110 MM (4 FEET-A)</t>
  </si>
  <si>
    <t>PW18</t>
  </si>
  <si>
    <t>SWR PIPE D/S  110 MM (6 FEET-A)</t>
  </si>
  <si>
    <t>PW19</t>
  </si>
  <si>
    <t>SWR PIPE S/S  110 MM (6 FEET-A)</t>
  </si>
  <si>
    <t>PW61</t>
  </si>
  <si>
    <t>SWR PIPE S/S  160 MM (3 METER-A)</t>
  </si>
  <si>
    <t>PW62</t>
  </si>
  <si>
    <t>SWR PIPE D/S  160 MM (3 METER-A)</t>
  </si>
  <si>
    <t>PW63</t>
  </si>
  <si>
    <t>SWR PIPE S/S  160 MM (6 METER-A)</t>
  </si>
  <si>
    <t>PW71</t>
  </si>
  <si>
    <t>SWR PIPE S/S  75 MM (3 METER-A)</t>
  </si>
  <si>
    <t>PW72</t>
  </si>
  <si>
    <t>SWR PIPE D/S  75 MM (3 METER-A)</t>
  </si>
  <si>
    <t>PW73</t>
  </si>
  <si>
    <t>SWR PIPE S/S  75 MM (6 METER-A)</t>
  </si>
  <si>
    <t>PW78</t>
  </si>
  <si>
    <t>SWR PIPE D/S  75 MM (6 FEET-A)</t>
  </si>
  <si>
    <t>PW79</t>
  </si>
  <si>
    <t>SWR PIPE S/S  75 MM (6 FEET-A)</t>
  </si>
  <si>
    <t>PW91</t>
  </si>
  <si>
    <t>SWR PIPE S/S  90 MM (3 METER-A)</t>
  </si>
  <si>
    <t>PW97</t>
  </si>
  <si>
    <t>SWR PIPE D/S  90 MM (4 FEET-A)</t>
  </si>
  <si>
    <t>PW13S</t>
  </si>
  <si>
    <t>SWR PIPE TYPE A-SELF FIT 110MM S/S 6 MTR</t>
  </si>
  <si>
    <t>PW61S</t>
  </si>
  <si>
    <t>SWR PIPE TYPE A-SELF FIT 160MM S/S 3 MTR</t>
  </si>
  <si>
    <t>PW63S</t>
  </si>
  <si>
    <t>SWR PIPE TYPE A-SELF FIT 160MM S/S 6 MTR</t>
  </si>
  <si>
    <t>PW91S</t>
  </si>
  <si>
    <t>SWR PIPE TYPE A-SELF FIT 90MM S/S 3 MTR</t>
  </si>
  <si>
    <t>PW93S</t>
  </si>
  <si>
    <t>SWR PIPE TYPE A-SELF FIT 90MM S/S 6 MTR</t>
  </si>
  <si>
    <t>SWR-FG</t>
  </si>
  <si>
    <t>5641S</t>
  </si>
  <si>
    <t>160 MM SINGLE Y</t>
  </si>
  <si>
    <t>5710S</t>
  </si>
  <si>
    <t>75 MM 45 BEND</t>
  </si>
  <si>
    <t>90 MM TEE</t>
  </si>
  <si>
    <t>75MM YELLOW SEAL O RING</t>
  </si>
  <si>
    <t>90MM YELLOW SEAL O RING</t>
  </si>
  <si>
    <t>SWR  FITTING BEND 45* (110 MM)</t>
  </si>
  <si>
    <t>SWR  FITTING BEND 87.5* (110 MM)</t>
  </si>
  <si>
    <t>SWR  FITTING BEND 87.5* (110 MM) WD</t>
  </si>
  <si>
    <t>SWR  FITTING BEND 87.5* (110 MM) WRD</t>
  </si>
  <si>
    <t>SWR  FITTING COUPLER (110 MM)</t>
  </si>
  <si>
    <t>SWR  FITTING SINGLE TEE (110 MM)</t>
  </si>
  <si>
    <t>SWR  FITTING SINGLE Y (110 MM)</t>
  </si>
  <si>
    <t>SWR  FITTING INVERT Y 45* (110 MM)</t>
  </si>
  <si>
    <t>SWR  FITTING REDUCER (110X75MM)</t>
  </si>
  <si>
    <t>SWR  FITTING VENT COWL (110 MM)</t>
  </si>
  <si>
    <t>SWR  FITTING PIPE CLIP (110 MM)</t>
  </si>
  <si>
    <t>SWR  FITTING NAHANI TRAP &amp; JALI (110 MM)</t>
  </si>
  <si>
    <t>SWR FITTING DOOR CAP (110MM)</t>
  </si>
  <si>
    <t>SWR  FITTING P TRAP &amp; JALI (110 MM)</t>
  </si>
  <si>
    <t>SWR  FITTING S TRAP (110 X110MM)</t>
  </si>
  <si>
    <t>SWR  FITTING BEND 45* (75 MM)</t>
  </si>
  <si>
    <t>SWR  FITTING SINGLE Y (75 MM)</t>
  </si>
  <si>
    <t>SWR  FITTING VENT COWL (75 MM)</t>
  </si>
  <si>
    <t>SWR  FITTING PIPE CLIP (75 MM)</t>
  </si>
  <si>
    <t>SWR  FITTING NAHANI TRAP &amp; JALI (75 MM)</t>
  </si>
  <si>
    <t>SWR  FITTING P TRAP (125X110MM)</t>
  </si>
  <si>
    <t>SWR  FITTING S TRAP (125X110 MM)</t>
  </si>
  <si>
    <t>5963-W</t>
  </si>
  <si>
    <t xml:space="preserve">NAHANI TRAP 90MM WITHOUT ROUND JALI </t>
  </si>
  <si>
    <t xml:space="preserve">NAHANI TRAP 90MM WITH ROUND JALI </t>
  </si>
  <si>
    <t>Agri-Pipe</t>
  </si>
  <si>
    <t>A-12A</t>
  </si>
  <si>
    <t>AGRI PIPE 3 METRE-2.5 KG/160MM</t>
  </si>
  <si>
    <t>A-27C</t>
  </si>
  <si>
    <t xml:space="preserve">75MM 4KG AGRI PIPE (6 MTR) </t>
  </si>
  <si>
    <t>A-9A</t>
  </si>
  <si>
    <t>AGRI PIPE 3 METRE-2.50 KG/110MM</t>
  </si>
  <si>
    <t>AGRI-FG</t>
  </si>
  <si>
    <t>A-248</t>
  </si>
  <si>
    <t>90MM COUPLER4 KG/CM2</t>
  </si>
  <si>
    <t>A-249</t>
  </si>
  <si>
    <t>110MM COUPLER4 KG/CM2</t>
  </si>
  <si>
    <t>A-264</t>
  </si>
  <si>
    <t>COUPLING 40 MM</t>
  </si>
  <si>
    <t>A-269</t>
  </si>
  <si>
    <t>COUPLING 110 MM</t>
  </si>
  <si>
    <t>A-271</t>
  </si>
  <si>
    <t>COUPLING 140 MM</t>
  </si>
  <si>
    <t>A-342</t>
  </si>
  <si>
    <t>160MM EQUAL TEE4 KG/CM2</t>
  </si>
  <si>
    <t>A-366</t>
  </si>
  <si>
    <t>TEE 63 MM</t>
  </si>
  <si>
    <t>A-368</t>
  </si>
  <si>
    <t>TEE  90 MM</t>
  </si>
  <si>
    <t>A-446</t>
  </si>
  <si>
    <t>63MM ELBOW 4 KG/CM2</t>
  </si>
  <si>
    <t>A-449</t>
  </si>
  <si>
    <t>110MM ELBOW 4 KG/CM2</t>
  </si>
  <si>
    <t>A-464</t>
  </si>
  <si>
    <t>ELBOW 40 MM</t>
  </si>
  <si>
    <t>A-467</t>
  </si>
  <si>
    <t>ELBOW 75 MM</t>
  </si>
  <si>
    <t>A-469</t>
  </si>
  <si>
    <t>ELBOW 110 MM</t>
  </si>
  <si>
    <t>A-565</t>
  </si>
  <si>
    <t>END CAP 50 MM</t>
  </si>
  <si>
    <t>A-569</t>
  </si>
  <si>
    <t>END CAP 110 MM</t>
  </si>
  <si>
    <t>A-667</t>
  </si>
  <si>
    <t>REDUCER TEE110X90 MM</t>
  </si>
  <si>
    <t>A-669</t>
  </si>
  <si>
    <t>REDUCER TEE 140X90 MM</t>
  </si>
  <si>
    <t>A-761</t>
  </si>
  <si>
    <t>REDUCER COUPLER 75X50</t>
  </si>
  <si>
    <t>A-765</t>
  </si>
  <si>
    <t>REDUCER COUPLER 90X75</t>
  </si>
  <si>
    <t>A-768</t>
  </si>
  <si>
    <t>REDUCER COUPLER 110X90</t>
  </si>
  <si>
    <t>A-770</t>
  </si>
  <si>
    <t>REDUCER COUPLER  160X110</t>
  </si>
  <si>
    <t>S45</t>
  </si>
  <si>
    <t>250 ML TIN PVC SOLVENT CEMENT</t>
  </si>
  <si>
    <t>Agri-Trading</t>
  </si>
  <si>
    <t>WATER TANK</t>
  </si>
  <si>
    <t>WT-3LL-20</t>
  </si>
  <si>
    <t>Water Tank 3 layer Light 2000 Ltr.</t>
  </si>
  <si>
    <t>WT-4LL-07</t>
  </si>
  <si>
    <t>Water Tank 4 layer Light 750 Ltr.</t>
  </si>
  <si>
    <t>WT-ISI-05</t>
  </si>
  <si>
    <t>Water Tank 2 layer ISI  500 Ltr.</t>
  </si>
  <si>
    <t>A-26A</t>
  </si>
  <si>
    <t xml:space="preserve">63MM 4KG AGRI PIPE (3 METERS) </t>
  </si>
  <si>
    <t>A-504</t>
  </si>
  <si>
    <t>ELBOW 45- 6 KG, 63MM AGRI</t>
  </si>
  <si>
    <t>A-503</t>
  </si>
  <si>
    <t>ELBOW 45- 6 KG, 50MM AGRI</t>
  </si>
  <si>
    <t>U951</t>
  </si>
  <si>
    <t>1-1/2"x1/2" RED. COUPLING</t>
  </si>
  <si>
    <t>A-428</t>
  </si>
  <si>
    <t>AGRI EQUAL ELBOW 90 (2.5 Kg</t>
  </si>
  <si>
    <t>A-703</t>
  </si>
  <si>
    <t>BUSH 4KG, 75X50MM, AGRI</t>
  </si>
  <si>
    <t>CH84</t>
  </si>
  <si>
    <t>25MM CANCELLED VALVE QUARTER TURN.WITH GREACIA-HANDLE</t>
  </si>
  <si>
    <t>CH82</t>
  </si>
  <si>
    <t>25MM CANCELLED VALVE QUARTER TURN.WITH TRIANGLE HANDLE</t>
  </si>
  <si>
    <t xml:space="preserve">WATER TANK </t>
  </si>
  <si>
    <t>AS-428</t>
  </si>
  <si>
    <t xml:space="preserve">AGRI EQUAL ELBOW 90 </t>
  </si>
  <si>
    <t>MULTIFLOOR TRAPE 110X75X50 MM</t>
  </si>
  <si>
    <t>PW80</t>
  </si>
  <si>
    <t>SWR PIPE S/S  75 MM (4 FEET-A)</t>
  </si>
  <si>
    <t>PW20</t>
  </si>
  <si>
    <t>SWR PIPE S/S  110 MM (4 FEET-A)</t>
  </si>
  <si>
    <t>CH82F</t>
  </si>
  <si>
    <t>3/4" CPVC TRIANGLE CONCEALED VALVE</t>
  </si>
  <si>
    <t>AS-446</t>
  </si>
  <si>
    <t>AGRI ELBOW 90⁰ 63</t>
  </si>
  <si>
    <t>AS-348</t>
  </si>
  <si>
    <t xml:space="preserve">AGRI EQUAL TEE 90 </t>
  </si>
  <si>
    <t xml:space="preserve">Trading </t>
  </si>
  <si>
    <t>MHC-08</t>
  </si>
  <si>
    <t>MANHOLE COVER 600 X 600</t>
  </si>
  <si>
    <t>AS-248</t>
  </si>
  <si>
    <t>Colum Pipe</t>
  </si>
  <si>
    <t>PB132</t>
  </si>
  <si>
    <t>COLUMN PIPE 32 MM 10 KG/CM3</t>
  </si>
  <si>
    <t>PB232</t>
  </si>
  <si>
    <t>COLUMN PIPE 32 MM 12.5 KG/CM3</t>
  </si>
  <si>
    <t>MULTIFLOOR TRAPE 110X75X50 MM WITH COVER</t>
  </si>
  <si>
    <t>PB132B</t>
  </si>
  <si>
    <t>COLUMN BILLING PIPE 32 MM 10 KG/CM3</t>
  </si>
  <si>
    <t>110MM SOCKET PLUG</t>
  </si>
  <si>
    <t>160MM SOCKET PLUG</t>
  </si>
  <si>
    <t xml:space="preserve">110X63 MMNAHANI TRAP WITH JALI </t>
  </si>
  <si>
    <t xml:space="preserve">63 MM BACK FLOW VALVE  </t>
  </si>
  <si>
    <t>A-413</t>
  </si>
  <si>
    <t xml:space="preserve">32 MM ELBOW 10 KG/CM2 </t>
  </si>
  <si>
    <t>A-721</t>
  </si>
  <si>
    <t xml:space="preserve">50X63 MMREDUCER BUSH 4 KG/CM2 </t>
  </si>
  <si>
    <t>WCT-3LL-07</t>
  </si>
  <si>
    <t>WATER COOL TANK 3 LAYER LIGHT 750 LTR.</t>
  </si>
  <si>
    <t>WCT-3LL-10</t>
  </si>
  <si>
    <t>WATER COOL TANK 3 LAYER LIGHT 1000 LTR.</t>
  </si>
  <si>
    <t>WCT-3LL-07 G</t>
  </si>
  <si>
    <t>Weight / Pcs</t>
  </si>
  <si>
    <t>Cpvc Fitting</t>
  </si>
  <si>
    <t>Upvc Fitting</t>
  </si>
  <si>
    <t>Swr Fitting</t>
  </si>
  <si>
    <t>Agri Fitting</t>
  </si>
  <si>
    <t>cpvc pipe</t>
  </si>
  <si>
    <t>upvc pipe</t>
  </si>
  <si>
    <t>swr pipe</t>
  </si>
  <si>
    <t>agri  pipe</t>
  </si>
  <si>
    <t>Column  pipe</t>
  </si>
  <si>
    <t>Water Tank</t>
  </si>
  <si>
    <t>Total</t>
  </si>
  <si>
    <t>21 Tone</t>
  </si>
  <si>
    <t>82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</si>
</sst>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49" fontId="4" fillId="2" borderId="4" xfId="1" applyNumberFormat="1" applyFont="1" applyFill="1" applyBorder="1" applyAlignment="1" applyProtection="1">
      <alignment horizontal="left" vertical="center" wrapText="1"/>
      <protection locked="0" hidden="1"/>
    </xf>
    <xf numFmtId="0" fontId="5" fillId="2" borderId="4" xfId="1" applyFont="1" applyFill="1" applyBorder="1" applyAlignment="1" applyProtection="1">
      <alignment vertical="center" wrapText="1"/>
      <protection locked="0" hidden="1"/>
    </xf>
    <xf numFmtId="0" fontId="6" fillId="2" borderId="4" xfId="1" applyFont="1" applyFill="1" applyBorder="1" applyAlignment="1" applyProtection="1">
      <alignment vertical="center" wrapText="1"/>
      <protection locked="0" hidden="1"/>
    </xf>
    <xf numFmtId="3" fontId="6" fillId="2" borderId="4" xfId="1" applyNumberFormat="1" applyFont="1" applyFill="1" applyBorder="1" applyAlignment="1" applyProtection="1">
      <alignment horizontal="center" vertical="center" wrapText="1"/>
      <protection locked="0" hidden="1"/>
    </xf>
    <xf numFmtId="0" fontId="5" fillId="2" borderId="4" xfId="1" applyFont="1" applyFill="1" applyBorder="1" applyAlignment="1" applyProtection="1">
      <alignment horizontal="center" vertical="center" wrapText="1"/>
      <protection locked="0" hidden="1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2" fillId="0" borderId="4" xfId="1" applyFont="1" applyBorder="1" applyAlignment="1">
      <alignment horizontal="left" vertical="top"/>
    </xf>
    <xf numFmtId="0" fontId="1" fillId="0" borderId="0" xfId="0" applyFont="1"/>
    <xf numFmtId="0" fontId="1" fillId="3" borderId="4" xfId="0" applyFont="1" applyFill="1" applyBorder="1"/>
    <xf numFmtId="0" fontId="8" fillId="4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821E992D-CD11-456F-B4D2-177A5705A44F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unil/KEHRANI%20STORE/April%202026%20To%20March%202027/Latest%20master%20sheet%202026-2027.xlsx" TargetMode="External"/><Relationship Id="rId2" Type="http://schemas.openxmlformats.org/officeDocument/2006/relationships/externalLinkPath" Target="file:///D:\sunil\KEHRANI%20STORE\April%202026%20To%20March%202027\Latest%20master%20sheet%202026-2027.xlsx" TargetMode="External"/><Relationship Id="rId1" Type="http://schemas.openxmlformats.org/officeDocument/2006/relationships/externalLinkPath" Target="/sunil/KEHRANI%20STORE/April%202026%20To%20March%202027/Latest%20master%20sheet%202026-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PVC &amp; UPVC MASTER SHEET"/>
      <sheetName val="Sheet5"/>
      <sheetName val="Sheet4"/>
      <sheetName val="BALL VALVE &amp; FAPT"/>
      <sheetName val="GASKET &amp; UNION 'O' RING"/>
      <sheetName val="BRASS WEIGHT"/>
      <sheetName val="Sheet2"/>
    </sheetNames>
    <sheetDataSet>
      <sheetData sheetId="0"/>
      <sheetData sheetId="1">
        <row r="3">
          <cell r="A3" t="str">
            <v>C272</v>
          </cell>
          <cell r="B3" t="str">
            <v>3/4" TANK NIPPLE</v>
          </cell>
          <cell r="C3" t="str">
            <v>CPVC FITTING</v>
          </cell>
          <cell r="D3">
            <v>76.05</v>
          </cell>
        </row>
        <row r="4">
          <cell r="A4" t="str">
            <v>C273</v>
          </cell>
          <cell r="B4" t="str">
            <v>1" TANK NIPPLE</v>
          </cell>
          <cell r="C4" t="str">
            <v>CPVC FITTING</v>
          </cell>
          <cell r="D4">
            <v>82.5</v>
          </cell>
        </row>
        <row r="5">
          <cell r="A5" t="str">
            <v>C274</v>
          </cell>
          <cell r="B5" t="str">
            <v>1-1/4" TANK NIPPLE</v>
          </cell>
          <cell r="C5" t="str">
            <v>CPVC FITTING</v>
          </cell>
          <cell r="D5">
            <v>117.05</v>
          </cell>
        </row>
        <row r="6">
          <cell r="A6" t="str">
            <v>C275</v>
          </cell>
          <cell r="B6" t="str">
            <v>1-1/2" TANK NIPPLE</v>
          </cell>
          <cell r="C6" t="str">
            <v>CPVC FITTING</v>
          </cell>
          <cell r="D6">
            <v>135.35</v>
          </cell>
        </row>
        <row r="7">
          <cell r="A7" t="str">
            <v>C276</v>
          </cell>
          <cell r="B7" t="str">
            <v>2" TANK NIPPLE</v>
          </cell>
          <cell r="C7" t="str">
            <v>CPVC FITTING</v>
          </cell>
          <cell r="D7">
            <v>212.45</v>
          </cell>
        </row>
        <row r="8">
          <cell r="A8" t="str">
            <v>C272N</v>
          </cell>
          <cell r="B8" t="str">
            <v>3/4" TANK NIPPLE (THR.)</v>
          </cell>
          <cell r="C8" t="str">
            <v>CPVC FITTING</v>
          </cell>
          <cell r="D8">
            <v>65.25</v>
          </cell>
        </row>
        <row r="9">
          <cell r="A9" t="str">
            <v>C273N</v>
          </cell>
          <cell r="B9" t="str">
            <v>1" TANK NIPPLE (NEW)</v>
          </cell>
          <cell r="C9" t="str">
            <v>CPVC FITTING</v>
          </cell>
          <cell r="D9">
            <v>71</v>
          </cell>
        </row>
        <row r="10">
          <cell r="A10" t="str">
            <v>C274N</v>
          </cell>
          <cell r="B10" t="str">
            <v>1-1/4" TANK NIPPLE (NEW)</v>
          </cell>
          <cell r="C10" t="str">
            <v>CPVC FITTING</v>
          </cell>
          <cell r="D10">
            <v>105</v>
          </cell>
        </row>
        <row r="11">
          <cell r="A11" t="str">
            <v>C275N</v>
          </cell>
          <cell r="B11" t="str">
            <v>1-1/2" TANK NIPPLE (NEW)</v>
          </cell>
          <cell r="C11" t="str">
            <v>CPVC FITTING</v>
          </cell>
          <cell r="D11">
            <v>145.65</v>
          </cell>
        </row>
        <row r="12">
          <cell r="A12" t="str">
            <v>C276N</v>
          </cell>
          <cell r="B12" t="str">
            <v>2" TANK NIPPLE (NEW)</v>
          </cell>
          <cell r="C12" t="str">
            <v>CPVC FITTING</v>
          </cell>
          <cell r="D12">
            <v>205.95</v>
          </cell>
        </row>
        <row r="13">
          <cell r="A13" t="str">
            <v>C277N</v>
          </cell>
          <cell r="B13" t="str">
            <v>2-1/2" TANK NIPPLE (NEW)</v>
          </cell>
          <cell r="C13" t="str">
            <v>CPVC FITTING</v>
          </cell>
          <cell r="D13">
            <v>732</v>
          </cell>
        </row>
        <row r="14">
          <cell r="A14" t="str">
            <v>C278N</v>
          </cell>
          <cell r="B14" t="str">
            <v>3" TANK NIPPLE (NEW)</v>
          </cell>
          <cell r="C14" t="str">
            <v>CPVC FITTING</v>
          </cell>
          <cell r="D14">
            <v>0</v>
          </cell>
        </row>
        <row r="15">
          <cell r="A15" t="str">
            <v>C279N</v>
          </cell>
          <cell r="B15" t="str">
            <v>4" TANK NIPPLE (NEW)</v>
          </cell>
          <cell r="C15" t="str">
            <v>CPVC FITTING</v>
          </cell>
          <cell r="D15">
            <v>2235</v>
          </cell>
        </row>
        <row r="16">
          <cell r="A16" t="str">
            <v>C22</v>
          </cell>
          <cell r="B16" t="str">
            <v>3/4" BALL VALVE</v>
          </cell>
          <cell r="C16" t="str">
            <v>CPVC FITTING</v>
          </cell>
          <cell r="D16">
            <v>111.03</v>
          </cell>
        </row>
        <row r="17">
          <cell r="A17" t="str">
            <v>C23</v>
          </cell>
          <cell r="B17" t="str">
            <v>1" BALL VALVE</v>
          </cell>
          <cell r="C17" t="str">
            <v>CPVC FITTING</v>
          </cell>
          <cell r="D17">
            <v>178.76000000000002</v>
          </cell>
        </row>
        <row r="18">
          <cell r="A18" t="str">
            <v>C24</v>
          </cell>
          <cell r="B18" t="str">
            <v>1-1/4" BALL VALVE</v>
          </cell>
          <cell r="C18" t="str">
            <v>CPVC FITTING</v>
          </cell>
          <cell r="D18">
            <v>294.45</v>
          </cell>
        </row>
        <row r="19">
          <cell r="A19" t="str">
            <v>C25</v>
          </cell>
          <cell r="B19" t="str">
            <v>1-1/2" BALL VALVE</v>
          </cell>
          <cell r="C19" t="str">
            <v>CPVC FITTING</v>
          </cell>
          <cell r="D19">
            <v>425.12500000000006</v>
          </cell>
        </row>
        <row r="20">
          <cell r="A20" t="str">
            <v>C26</v>
          </cell>
          <cell r="B20" t="str">
            <v>2" BALL VALVE</v>
          </cell>
          <cell r="C20" t="str">
            <v>CPVC FITTING</v>
          </cell>
          <cell r="D20">
            <v>657.6</v>
          </cell>
        </row>
        <row r="21">
          <cell r="A21" t="str">
            <v>C22L</v>
          </cell>
          <cell r="B21" t="str">
            <v>3/4" BALL VALVE (NEW)</v>
          </cell>
          <cell r="C21" t="str">
            <v>CPVC FITTING</v>
          </cell>
          <cell r="D21">
            <v>110.83000000000001</v>
          </cell>
        </row>
        <row r="22">
          <cell r="A22" t="str">
            <v>C23L</v>
          </cell>
          <cell r="B22" t="str">
            <v>1" BALL VALVE (NEW)</v>
          </cell>
          <cell r="C22" t="str">
            <v>CPVC FITTING</v>
          </cell>
          <cell r="D22">
            <v>178.56</v>
          </cell>
        </row>
        <row r="23">
          <cell r="A23" t="str">
            <v>C24L</v>
          </cell>
          <cell r="B23" t="str">
            <v>1-1/4" BALL VALVE (NEW)</v>
          </cell>
          <cell r="C23" t="str">
            <v>CPVC FITTING</v>
          </cell>
          <cell r="D23">
            <v>293.09999999999997</v>
          </cell>
        </row>
        <row r="24">
          <cell r="A24" t="str">
            <v>C25L</v>
          </cell>
          <cell r="B24" t="str">
            <v>1-1/2" BALL VALVE (NEW)</v>
          </cell>
          <cell r="C24" t="str">
            <v>CPVC FITTING</v>
          </cell>
          <cell r="D24">
            <v>425.12500000000006</v>
          </cell>
        </row>
        <row r="25">
          <cell r="A25" t="str">
            <v>C26L</v>
          </cell>
          <cell r="B25" t="str">
            <v>2" BALL VALVE (NEW)</v>
          </cell>
          <cell r="C25" t="str">
            <v>CPVC FITTING</v>
          </cell>
          <cell r="D25">
            <v>696.25</v>
          </cell>
        </row>
        <row r="26">
          <cell r="A26" t="str">
            <v>C32</v>
          </cell>
          <cell r="B26" t="str">
            <v>3/4" UNION</v>
          </cell>
          <cell r="C26" t="str">
            <v>CPVC FITTING</v>
          </cell>
          <cell r="D26">
            <v>64.94</v>
          </cell>
        </row>
        <row r="27">
          <cell r="A27" t="str">
            <v>C33</v>
          </cell>
          <cell r="B27" t="str">
            <v>1" UNION</v>
          </cell>
          <cell r="C27" t="str">
            <v>CPVC FITTING</v>
          </cell>
          <cell r="D27">
            <v>95</v>
          </cell>
        </row>
        <row r="28">
          <cell r="A28" t="str">
            <v>C34</v>
          </cell>
          <cell r="B28" t="str">
            <v>1-1/4" UNION</v>
          </cell>
          <cell r="C28" t="str">
            <v>CPVC FITTING</v>
          </cell>
          <cell r="D28">
            <v>143.94999999999999</v>
          </cell>
        </row>
        <row r="29">
          <cell r="A29" t="str">
            <v>C35</v>
          </cell>
          <cell r="B29" t="str">
            <v>1-1/2" UNION</v>
          </cell>
          <cell r="C29" t="str">
            <v>CPVC FITTING</v>
          </cell>
          <cell r="D29">
            <v>160.25</v>
          </cell>
        </row>
        <row r="30">
          <cell r="A30" t="str">
            <v>C36</v>
          </cell>
          <cell r="B30" t="str">
            <v>2" UNION</v>
          </cell>
          <cell r="C30" t="str">
            <v>CPVC FITTING</v>
          </cell>
          <cell r="D30">
            <v>284.55</v>
          </cell>
        </row>
        <row r="31">
          <cell r="A31" t="str">
            <v>C37</v>
          </cell>
          <cell r="B31" t="str">
            <v>2-1/2" UNION</v>
          </cell>
          <cell r="C31" t="str">
            <v>CPVC FITTING</v>
          </cell>
          <cell r="D31">
            <v>919</v>
          </cell>
        </row>
        <row r="32">
          <cell r="A32" t="str">
            <v>C38</v>
          </cell>
          <cell r="B32" t="str">
            <v>3" UNION</v>
          </cell>
          <cell r="C32" t="str">
            <v>CPVC FITTING</v>
          </cell>
          <cell r="D32">
            <v>1418</v>
          </cell>
        </row>
        <row r="33">
          <cell r="A33" t="str">
            <v>C39</v>
          </cell>
          <cell r="B33" t="str">
            <v>4" UNION</v>
          </cell>
          <cell r="C33" t="str">
            <v>CPVC FITTING</v>
          </cell>
          <cell r="D33">
            <v>2369</v>
          </cell>
        </row>
        <row r="34">
          <cell r="A34" t="str">
            <v>CM21</v>
          </cell>
          <cell r="B34" t="str">
            <v>3/4"x1/2" BRASS 90° ELBOW (CPVC UPPER )</v>
          </cell>
          <cell r="C34" t="str">
            <v>CPVC FITTING</v>
          </cell>
          <cell r="D34">
            <v>103.3</v>
          </cell>
        </row>
        <row r="35">
          <cell r="A35" t="str">
            <v>CM22</v>
          </cell>
          <cell r="B35" t="str">
            <v>3/4"x1/2" BRASS 90° ELBOW (CPVC DOWN )</v>
          </cell>
          <cell r="C35" t="str">
            <v>CPVC FITTING</v>
          </cell>
          <cell r="D35">
            <v>103.3</v>
          </cell>
        </row>
        <row r="36">
          <cell r="A36" t="str">
            <v>CM23</v>
          </cell>
          <cell r="B36" t="str">
            <v>3/4"x1/2" BRASS 90° ELBOW (CPVC DOWN )</v>
          </cell>
          <cell r="C36" t="str">
            <v>CPVC FITTING</v>
          </cell>
          <cell r="D36">
            <v>103.3</v>
          </cell>
        </row>
        <row r="37">
          <cell r="A37" t="str">
            <v>CM24</v>
          </cell>
          <cell r="B37" t="str">
            <v>3/4"x1/2" BRASS 90° ELBOW (CPVC DOWN )</v>
          </cell>
          <cell r="C37" t="str">
            <v>CPVC FITTING</v>
          </cell>
          <cell r="D37">
            <v>103.3</v>
          </cell>
        </row>
        <row r="38">
          <cell r="A38" t="str">
            <v>CM25</v>
          </cell>
          <cell r="B38" t="str">
            <v>3/4"x1/2" BRASS 90° ELBOW (CPVC DOWN )</v>
          </cell>
          <cell r="C38" t="str">
            <v>CPVC FITTING</v>
          </cell>
          <cell r="D38">
            <v>103.3</v>
          </cell>
        </row>
        <row r="39">
          <cell r="A39" t="str">
            <v>CM26</v>
          </cell>
          <cell r="B39" t="str">
            <v>3/4"x1/2" BRASS 90° ELBOW (CPVC DOWN )</v>
          </cell>
          <cell r="C39" t="str">
            <v>CPVC FITTING</v>
          </cell>
          <cell r="D39">
            <v>59</v>
          </cell>
        </row>
        <row r="40">
          <cell r="A40" t="str">
            <v>CM31</v>
          </cell>
          <cell r="B40" t="str">
            <v>1"X1/2" BRASS ELBOW MIXER</v>
          </cell>
          <cell r="C40" t="str">
            <v>CPVC FITTING</v>
          </cell>
          <cell r="D40">
            <v>124.3</v>
          </cell>
        </row>
        <row r="41">
          <cell r="A41" t="str">
            <v>CM32</v>
          </cell>
          <cell r="B41" t="str">
            <v>1"X1/2" BRASS ELBOW MIXER  (D)</v>
          </cell>
          <cell r="C41" t="str">
            <v>CPVC FITTING</v>
          </cell>
          <cell r="D41">
            <v>124.3</v>
          </cell>
        </row>
        <row r="42">
          <cell r="A42" t="str">
            <v>CM33</v>
          </cell>
          <cell r="B42" t="str">
            <v>1"X1/2" BRASS ELBOW MIXER (S)</v>
          </cell>
          <cell r="C42" t="str">
            <v>CPVC FITTING</v>
          </cell>
          <cell r="D42">
            <v>124.3</v>
          </cell>
        </row>
        <row r="43">
          <cell r="A43" t="str">
            <v>CM34</v>
          </cell>
          <cell r="B43" t="str">
            <v>1"X1/2" BRASS ELBOW MIXER (UD)</v>
          </cell>
          <cell r="C43" t="str">
            <v>CPVC FITTING</v>
          </cell>
          <cell r="D43">
            <v>124.3</v>
          </cell>
        </row>
        <row r="44">
          <cell r="A44" t="str">
            <v>CM35</v>
          </cell>
          <cell r="B44" t="str">
            <v>1"X1/2" BRASS ELBOW MIXER (SD)</v>
          </cell>
          <cell r="C44" t="str">
            <v>CPVC FITTING</v>
          </cell>
          <cell r="D44">
            <v>124.3</v>
          </cell>
        </row>
        <row r="45">
          <cell r="A45" t="str">
            <v>C952</v>
          </cell>
          <cell r="B45" t="str">
            <v xml:space="preserve">1-1/2X3/4" RED COUPLER </v>
          </cell>
          <cell r="C45" t="str">
            <v>CPVC FITTING</v>
          </cell>
          <cell r="D45">
            <v>97.65</v>
          </cell>
        </row>
        <row r="46">
          <cell r="A46" t="str">
            <v>C962</v>
          </cell>
          <cell r="B46" t="str">
            <v>2X3/4" RED COUPLER</v>
          </cell>
          <cell r="C46" t="str">
            <v>CPVC FITTING</v>
          </cell>
          <cell r="D46">
            <v>210.5</v>
          </cell>
        </row>
        <row r="47">
          <cell r="A47" t="str">
            <v>C963</v>
          </cell>
          <cell r="B47" t="str">
            <v>2X1" RED COUPLER</v>
          </cell>
          <cell r="C47" t="str">
            <v>CPVC FITTING</v>
          </cell>
          <cell r="D47">
            <v>210</v>
          </cell>
        </row>
        <row r="48">
          <cell r="A48" t="str">
            <v>C964</v>
          </cell>
          <cell r="B48" t="str">
            <v xml:space="preserve">2X1-1/4 RED COUPLER </v>
          </cell>
          <cell r="C48" t="str">
            <v>CPVC FITTING</v>
          </cell>
          <cell r="D48">
            <v>214.5</v>
          </cell>
        </row>
        <row r="49">
          <cell r="A49" t="str">
            <v>C965</v>
          </cell>
          <cell r="B49" t="str">
            <v xml:space="preserve">2X1-1/2" RED COUPLER </v>
          </cell>
          <cell r="C49" t="str">
            <v>CPVC FITTING</v>
          </cell>
          <cell r="D49">
            <v>202.5</v>
          </cell>
        </row>
        <row r="50">
          <cell r="A50" t="str">
            <v>C252</v>
          </cell>
          <cell r="B50" t="str">
            <v>1-1/2X3/4" RED TEE</v>
          </cell>
          <cell r="C50" t="str">
            <v>CPVC FITTING</v>
          </cell>
          <cell r="D50">
            <v>182.2</v>
          </cell>
        </row>
        <row r="51">
          <cell r="A51" t="str">
            <v>C254</v>
          </cell>
          <cell r="B51" t="str">
            <v>1-1/2X1-1/4" RED TEE</v>
          </cell>
          <cell r="C51" t="str">
            <v>CPVC FITTING</v>
          </cell>
          <cell r="D51">
            <v>169.7</v>
          </cell>
        </row>
        <row r="52">
          <cell r="A52" t="str">
            <v>C262</v>
          </cell>
          <cell r="B52" t="str">
            <v>2X3/4 RED TEE</v>
          </cell>
          <cell r="C52" t="str">
            <v>CPVC FITTING</v>
          </cell>
          <cell r="D52">
            <v>375</v>
          </cell>
        </row>
        <row r="53">
          <cell r="A53" t="str">
            <v>C263</v>
          </cell>
          <cell r="B53" t="str">
            <v>2X1" RED TEE</v>
          </cell>
          <cell r="C53" t="str">
            <v>CPVC FITTING</v>
          </cell>
          <cell r="D53">
            <v>374.5</v>
          </cell>
        </row>
        <row r="54">
          <cell r="A54" t="str">
            <v>C264</v>
          </cell>
          <cell r="B54" t="str">
            <v>2X1-1/4" RED TEE</v>
          </cell>
          <cell r="C54" t="str">
            <v>CPVC FITTING</v>
          </cell>
          <cell r="D54">
            <v>379</v>
          </cell>
        </row>
        <row r="55">
          <cell r="A55" t="str">
            <v>C265</v>
          </cell>
          <cell r="B55" t="str">
            <v>2X1-1/2" RED TEE</v>
          </cell>
          <cell r="C55" t="str">
            <v>CPVC FITTING</v>
          </cell>
          <cell r="D55">
            <v>367</v>
          </cell>
        </row>
        <row r="56">
          <cell r="A56" t="str">
            <v>CH22</v>
          </cell>
          <cell r="B56" t="str">
            <v>3/4" CPVC BALL VALVE HANDLE</v>
          </cell>
          <cell r="C56" t="str">
            <v>CPVC FITTING</v>
          </cell>
          <cell r="D56">
            <v>9.25</v>
          </cell>
        </row>
        <row r="57">
          <cell r="A57" t="str">
            <v>CH23</v>
          </cell>
          <cell r="B57" t="str">
            <v>1" CPVC BALL VALVE HANDLE</v>
          </cell>
          <cell r="C57" t="str">
            <v>CPVC FITTING</v>
          </cell>
          <cell r="D57">
            <v>19</v>
          </cell>
        </row>
        <row r="58">
          <cell r="A58" t="str">
            <v>CH24</v>
          </cell>
          <cell r="B58" t="str">
            <v>1-1/4" CPVC BALL VALVE HANDLE</v>
          </cell>
          <cell r="C58" t="str">
            <v>CPVC FITTING</v>
          </cell>
          <cell r="D58">
            <v>19.25</v>
          </cell>
        </row>
        <row r="59">
          <cell r="A59" t="str">
            <v>CH25</v>
          </cell>
          <cell r="B59" t="str">
            <v>1-1/2" CPVC BALL VALVE HANDLE</v>
          </cell>
          <cell r="C59" t="str">
            <v>CPVC FITTING</v>
          </cell>
          <cell r="D59">
            <v>27.75</v>
          </cell>
        </row>
        <row r="60">
          <cell r="A60" t="str">
            <v>CH26</v>
          </cell>
          <cell r="B60" t="str">
            <v>2" CPVC BALL VALVE HANDLE</v>
          </cell>
          <cell r="C60" t="str">
            <v>CPVC FITTING</v>
          </cell>
          <cell r="D60">
            <v>37.5</v>
          </cell>
        </row>
        <row r="61">
          <cell r="A61" t="str">
            <v>CHL22</v>
          </cell>
          <cell r="B61" t="str">
            <v>3/4" CPVC BALL VALVE HANDLE</v>
          </cell>
          <cell r="C61" t="str">
            <v>CPVC FITTING</v>
          </cell>
          <cell r="D61">
            <v>9.25</v>
          </cell>
        </row>
        <row r="62">
          <cell r="A62" t="str">
            <v>CHL-23</v>
          </cell>
          <cell r="B62" t="str">
            <v>1" CPVC BALL VALVE HANDLE</v>
          </cell>
          <cell r="C62" t="str">
            <v>CPVC FITTING</v>
          </cell>
          <cell r="D62">
            <v>19</v>
          </cell>
        </row>
        <row r="63">
          <cell r="A63" t="str">
            <v>CHL-24</v>
          </cell>
          <cell r="B63" t="str">
            <v>1-1/4" CPVC BALL VALVE HANDLE</v>
          </cell>
          <cell r="C63" t="str">
            <v>CPVC FITTING</v>
          </cell>
          <cell r="D63">
            <v>19.25</v>
          </cell>
        </row>
        <row r="64">
          <cell r="A64" t="str">
            <v>CHL-25</v>
          </cell>
          <cell r="B64" t="str">
            <v>1-1/2" CPVC BALL VALVE HANDLE</v>
          </cell>
          <cell r="C64" t="str">
            <v>CPVC FITTING</v>
          </cell>
          <cell r="D64">
            <v>27.75</v>
          </cell>
        </row>
        <row r="65">
          <cell r="A65" t="str">
            <v>CHL-26</v>
          </cell>
          <cell r="B65" t="str">
            <v>2" CPVC BALL VALVE HANDLE</v>
          </cell>
          <cell r="C65" t="str">
            <v>CPVC FITTING</v>
          </cell>
          <cell r="D65">
            <v>37.5</v>
          </cell>
        </row>
        <row r="66">
          <cell r="A66" t="str">
            <v>C12</v>
          </cell>
          <cell r="B66" t="str">
            <v>3/4" SOB</v>
          </cell>
          <cell r="C66" t="str">
            <v>CPVC FITTING</v>
          </cell>
          <cell r="D66">
            <v>84.8</v>
          </cell>
        </row>
        <row r="67">
          <cell r="A67" t="str">
            <v>C13</v>
          </cell>
          <cell r="B67" t="str">
            <v>1" SOB</v>
          </cell>
          <cell r="C67" t="str">
            <v>CPVC FITTING</v>
          </cell>
          <cell r="D67">
            <v>83.25</v>
          </cell>
        </row>
        <row r="68">
          <cell r="A68" t="str">
            <v>C14</v>
          </cell>
          <cell r="B68" t="str">
            <v>1-1/4" SOB</v>
          </cell>
          <cell r="C68" t="str">
            <v>CPVC FITTING</v>
          </cell>
          <cell r="D68">
            <v>185.9</v>
          </cell>
        </row>
        <row r="69">
          <cell r="A69" t="str">
            <v>C15</v>
          </cell>
          <cell r="B69" t="str">
            <v>1-1/2"SOB</v>
          </cell>
          <cell r="C69" t="str">
            <v>CPVC FITTING</v>
          </cell>
          <cell r="D69">
            <v>421</v>
          </cell>
        </row>
        <row r="70">
          <cell r="A70" t="str">
            <v>C41</v>
          </cell>
          <cell r="B70" t="str">
            <v>1/2" COUPLING</v>
          </cell>
          <cell r="C70" t="str">
            <v>CPVC FITTING</v>
          </cell>
          <cell r="D70">
            <v>7.25</v>
          </cell>
        </row>
        <row r="71">
          <cell r="A71" t="str">
            <v>C42</v>
          </cell>
          <cell r="B71" t="str">
            <v xml:space="preserve">3/4" COUPLING </v>
          </cell>
          <cell r="C71" t="str">
            <v>CPVC FITTING</v>
          </cell>
          <cell r="D71">
            <v>13.5</v>
          </cell>
        </row>
        <row r="72">
          <cell r="A72" t="str">
            <v>C43</v>
          </cell>
          <cell r="B72" t="str">
            <v xml:space="preserve">1" COUPLING </v>
          </cell>
          <cell r="C72" t="str">
            <v>CPVC FITTING</v>
          </cell>
          <cell r="D72">
            <v>20.399999999999999</v>
          </cell>
        </row>
        <row r="73">
          <cell r="A73" t="str">
            <v>C44</v>
          </cell>
          <cell r="B73" t="str">
            <v>1-1/4" COUPLING</v>
          </cell>
          <cell r="C73" t="str">
            <v>CPVC FITTING</v>
          </cell>
          <cell r="D73">
            <v>36.4</v>
          </cell>
        </row>
        <row r="74">
          <cell r="A74" t="str">
            <v>C45</v>
          </cell>
          <cell r="B74" t="str">
            <v>1-1/2" COUPLING</v>
          </cell>
          <cell r="C74" t="str">
            <v>CPVC FITTING</v>
          </cell>
          <cell r="D74">
            <v>60.9</v>
          </cell>
        </row>
        <row r="75">
          <cell r="A75" t="str">
            <v>C46</v>
          </cell>
          <cell r="B75" t="str">
            <v>2" COUPLING</v>
          </cell>
          <cell r="C75" t="str">
            <v>CPVC FITTING</v>
          </cell>
          <cell r="D75">
            <v>133</v>
          </cell>
        </row>
        <row r="76">
          <cell r="A76" t="str">
            <v>C47</v>
          </cell>
          <cell r="B76" t="str">
            <v>2-1/2" COUPLING</v>
          </cell>
          <cell r="C76" t="str">
            <v>CPVC FITTING</v>
          </cell>
          <cell r="D76">
            <v>307.89999999999998</v>
          </cell>
        </row>
        <row r="77">
          <cell r="A77" t="str">
            <v>C48</v>
          </cell>
          <cell r="B77" t="str">
            <v>3" COUPLING</v>
          </cell>
          <cell r="C77" t="str">
            <v>CPVC FITTING</v>
          </cell>
          <cell r="D77">
            <v>438.5</v>
          </cell>
        </row>
        <row r="78">
          <cell r="A78" t="str">
            <v>C49</v>
          </cell>
          <cell r="B78" t="str">
            <v>4" COUPLING</v>
          </cell>
          <cell r="C78" t="str">
            <v>CPVC FITTING</v>
          </cell>
          <cell r="D78">
            <v>659.5</v>
          </cell>
        </row>
        <row r="79">
          <cell r="A79" t="str">
            <v>C49N</v>
          </cell>
          <cell r="B79" t="str">
            <v>6" COUPLING</v>
          </cell>
          <cell r="C79" t="str">
            <v>CPVC FITTING</v>
          </cell>
          <cell r="D79">
            <v>964</v>
          </cell>
        </row>
        <row r="80">
          <cell r="A80" t="str">
            <v>C50</v>
          </cell>
          <cell r="B80" t="str">
            <v>3/4"x1/2" RED. 90° ELBOW</v>
          </cell>
          <cell r="C80" t="str">
            <v>CPVC FITTING</v>
          </cell>
          <cell r="D80">
            <v>17</v>
          </cell>
        </row>
        <row r="81">
          <cell r="A81" t="str">
            <v>C532</v>
          </cell>
          <cell r="B81" t="str">
            <v>1"x3/4" 90° ELBOW</v>
          </cell>
          <cell r="C81" t="str">
            <v>CPVC FITTING</v>
          </cell>
          <cell r="D81">
            <v>30.25</v>
          </cell>
        </row>
        <row r="82">
          <cell r="A82" t="str">
            <v>C51</v>
          </cell>
          <cell r="B82" t="str">
            <v>1/2" 90° ELBOW</v>
          </cell>
          <cell r="C82" t="str">
            <v>CPVC FITTING</v>
          </cell>
          <cell r="D82">
            <v>11</v>
          </cell>
        </row>
        <row r="83">
          <cell r="A83" t="str">
            <v>C52</v>
          </cell>
          <cell r="B83" t="str">
            <v>3/4" 90⁰ ELBOW</v>
          </cell>
          <cell r="C83" t="str">
            <v>CPVC FITTING</v>
          </cell>
          <cell r="D83">
            <v>22.9</v>
          </cell>
        </row>
        <row r="84">
          <cell r="A84" t="str">
            <v>C53</v>
          </cell>
          <cell r="B84" t="str">
            <v>1" 90⁰ ELBOW</v>
          </cell>
          <cell r="C84" t="str">
            <v>CPVC FITTING</v>
          </cell>
          <cell r="D84">
            <v>36.299999999999997</v>
          </cell>
        </row>
        <row r="85">
          <cell r="A85" t="str">
            <v>C54</v>
          </cell>
          <cell r="B85" t="str">
            <v>1-1/4" 90⁰ ELBOW</v>
          </cell>
          <cell r="C85" t="str">
            <v>CPVC FITTING</v>
          </cell>
          <cell r="D85">
            <v>70.95</v>
          </cell>
        </row>
        <row r="86">
          <cell r="A86" t="str">
            <v>C55</v>
          </cell>
          <cell r="B86" t="str">
            <v>1-1/2" 90⁰ ELBOW</v>
          </cell>
          <cell r="C86" t="str">
            <v>CPVC FITTING</v>
          </cell>
          <cell r="D86">
            <v>112.25</v>
          </cell>
        </row>
        <row r="87">
          <cell r="A87" t="str">
            <v>C56</v>
          </cell>
          <cell r="B87" t="str">
            <v>2" 90⁰ ELBOW</v>
          </cell>
          <cell r="C87" t="str">
            <v>CPVC FITTING</v>
          </cell>
          <cell r="D87">
            <v>213.2</v>
          </cell>
        </row>
        <row r="88">
          <cell r="A88" t="str">
            <v>C57</v>
          </cell>
          <cell r="B88" t="str">
            <v>2-1/2" 90° ELBOW</v>
          </cell>
          <cell r="C88" t="str">
            <v>CPVC FITTING</v>
          </cell>
          <cell r="D88">
            <v>522</v>
          </cell>
        </row>
        <row r="89">
          <cell r="A89" t="str">
            <v>C58</v>
          </cell>
          <cell r="B89" t="str">
            <v>3" 90° ELBOW</v>
          </cell>
          <cell r="C89" t="str">
            <v>CPVC FITTING</v>
          </cell>
          <cell r="D89">
            <v>814.2</v>
          </cell>
        </row>
        <row r="90">
          <cell r="A90" t="str">
            <v>C59</v>
          </cell>
          <cell r="B90" t="str">
            <v>4" 90° ELBOW</v>
          </cell>
          <cell r="C90" t="str">
            <v>CPVC FITTING</v>
          </cell>
          <cell r="D90">
            <v>1362</v>
          </cell>
        </row>
        <row r="91">
          <cell r="A91" t="str">
            <v>C61</v>
          </cell>
          <cell r="B91" t="str">
            <v>1/2" TEE</v>
          </cell>
          <cell r="C91" t="str">
            <v>CPVC FITTING</v>
          </cell>
          <cell r="D91">
            <v>14.8</v>
          </cell>
        </row>
        <row r="92">
          <cell r="A92" t="str">
            <v>C62</v>
          </cell>
          <cell r="B92" t="str">
            <v>3/4" TEE</v>
          </cell>
          <cell r="C92" t="str">
            <v>CPVC FITTING</v>
          </cell>
          <cell r="D92">
            <v>29</v>
          </cell>
        </row>
        <row r="93">
          <cell r="A93" t="str">
            <v>C63</v>
          </cell>
          <cell r="B93" t="str">
            <v xml:space="preserve">1" TEE </v>
          </cell>
          <cell r="C93" t="str">
            <v>CPVC FITTING</v>
          </cell>
          <cell r="D93">
            <v>49.2</v>
          </cell>
        </row>
        <row r="94">
          <cell r="A94" t="str">
            <v>C64</v>
          </cell>
          <cell r="B94" t="str">
            <v>1-1/4" TEE</v>
          </cell>
          <cell r="C94" t="str">
            <v>CPVC FITTING</v>
          </cell>
          <cell r="D94">
            <v>87.3</v>
          </cell>
        </row>
        <row r="95">
          <cell r="A95" t="str">
            <v>C65</v>
          </cell>
          <cell r="B95" t="str">
            <v>1-1/2" TEE</v>
          </cell>
          <cell r="C95" t="str">
            <v>CPVC FITTING</v>
          </cell>
          <cell r="D95">
            <v>145.44999999999999</v>
          </cell>
        </row>
        <row r="96">
          <cell r="A96" t="str">
            <v>C66</v>
          </cell>
          <cell r="B96" t="str">
            <v>2" TEE</v>
          </cell>
          <cell r="C96" t="str">
            <v>CPVC FITTING</v>
          </cell>
          <cell r="D96">
            <v>297.5</v>
          </cell>
        </row>
        <row r="97">
          <cell r="A97" t="str">
            <v>C67</v>
          </cell>
          <cell r="B97" t="str">
            <v>2-1/2" TEE</v>
          </cell>
          <cell r="C97" t="str">
            <v>CPVC FITTING</v>
          </cell>
          <cell r="D97">
            <v>687</v>
          </cell>
        </row>
        <row r="98">
          <cell r="A98" t="str">
            <v>C68</v>
          </cell>
          <cell r="B98" t="str">
            <v>3" TEE</v>
          </cell>
          <cell r="C98" t="str">
            <v>CPVC FITTING</v>
          </cell>
          <cell r="D98">
            <v>1073.5999999999999</v>
          </cell>
        </row>
        <row r="99">
          <cell r="A99" t="str">
            <v>C69</v>
          </cell>
          <cell r="B99" t="str">
            <v>4" TEE</v>
          </cell>
          <cell r="C99" t="str">
            <v>CPVC FITTING</v>
          </cell>
          <cell r="D99">
            <v>1723</v>
          </cell>
        </row>
        <row r="100">
          <cell r="A100" t="str">
            <v>C71</v>
          </cell>
          <cell r="B100" t="str">
            <v>3/4"x1/2" MABT</v>
          </cell>
          <cell r="C100" t="str">
            <v>CPVC FITTING</v>
          </cell>
          <cell r="D100">
            <v>7.25</v>
          </cell>
        </row>
        <row r="101">
          <cell r="A101" t="str">
            <v>C72</v>
          </cell>
          <cell r="B101" t="str">
            <v>3/4" MABT</v>
          </cell>
          <cell r="C101" t="str">
            <v>CPVC FITTING</v>
          </cell>
          <cell r="D101">
            <v>13</v>
          </cell>
        </row>
        <row r="102">
          <cell r="A102" t="str">
            <v>C73</v>
          </cell>
          <cell r="B102" t="str">
            <v>1" MABT</v>
          </cell>
          <cell r="C102" t="str">
            <v>CPVC FITTING</v>
          </cell>
          <cell r="D102">
            <v>19.5</v>
          </cell>
        </row>
        <row r="103">
          <cell r="A103" t="str">
            <v>C74</v>
          </cell>
          <cell r="B103" t="str">
            <v>1-1/4" MABT</v>
          </cell>
          <cell r="C103" t="str">
            <v>CPVC FITTING</v>
          </cell>
          <cell r="D103">
            <v>41.5</v>
          </cell>
        </row>
        <row r="104">
          <cell r="A104" t="str">
            <v>C75</v>
          </cell>
          <cell r="B104" t="str">
            <v>1-1/2" MABT</v>
          </cell>
          <cell r="C104" t="str">
            <v>CPVC FITTING</v>
          </cell>
          <cell r="D104">
            <v>60.75</v>
          </cell>
        </row>
        <row r="105">
          <cell r="A105" t="str">
            <v>C76</v>
          </cell>
          <cell r="B105" t="str">
            <v>2" MABT</v>
          </cell>
          <cell r="C105" t="str">
            <v>CPVC FITTING</v>
          </cell>
          <cell r="D105">
            <v>103.5</v>
          </cell>
        </row>
        <row r="106">
          <cell r="A106" t="str">
            <v>C82</v>
          </cell>
          <cell r="B106" t="str">
            <v>3/4" FABT</v>
          </cell>
          <cell r="C106" t="str">
            <v>CPVC FITTING</v>
          </cell>
          <cell r="D106">
            <v>9.4499999999999993</v>
          </cell>
        </row>
        <row r="107">
          <cell r="A107" t="str">
            <v>C83</v>
          </cell>
          <cell r="B107" t="str">
            <v>1" FABT</v>
          </cell>
          <cell r="C107" t="str">
            <v>CPVC FITTING</v>
          </cell>
          <cell r="D107">
            <v>17.32</v>
          </cell>
        </row>
        <row r="108">
          <cell r="A108" t="str">
            <v>C84</v>
          </cell>
          <cell r="B108" t="str">
            <v>1-1/4" FABT</v>
          </cell>
          <cell r="C108" t="str">
            <v>CPVC FITTING</v>
          </cell>
          <cell r="D108">
            <v>41.9</v>
          </cell>
        </row>
        <row r="109">
          <cell r="A109" t="str">
            <v>C85</v>
          </cell>
          <cell r="B109" t="str">
            <v>1-1/2" FABT</v>
          </cell>
          <cell r="C109" t="str">
            <v>CPVC FITTING</v>
          </cell>
          <cell r="D109">
            <v>446.75</v>
          </cell>
        </row>
        <row r="110">
          <cell r="A110" t="str">
            <v>C86</v>
          </cell>
          <cell r="B110" t="str">
            <v>2" FABT</v>
          </cell>
          <cell r="C110" t="str">
            <v>CPVC FITTING</v>
          </cell>
          <cell r="D110">
            <v>120.5</v>
          </cell>
        </row>
        <row r="111">
          <cell r="A111" t="str">
            <v>C90</v>
          </cell>
          <cell r="B111" t="str">
            <v>3/4"X1/2" FAPT</v>
          </cell>
          <cell r="C111" t="str">
            <v>CPVC FITTING</v>
          </cell>
          <cell r="D111">
            <v>20.95</v>
          </cell>
        </row>
        <row r="112">
          <cell r="A112" t="str">
            <v>C91</v>
          </cell>
          <cell r="B112" t="str">
            <v>1"X3/4" FAPT</v>
          </cell>
          <cell r="C112" t="str">
            <v>CPVC FITTING</v>
          </cell>
          <cell r="D112">
            <v>35.075000000000003</v>
          </cell>
        </row>
        <row r="113">
          <cell r="A113" t="str">
            <v>C92</v>
          </cell>
          <cell r="B113" t="str">
            <v>3/4" FAPT</v>
          </cell>
          <cell r="C113" t="str">
            <v>CPVC FITTING</v>
          </cell>
          <cell r="D113">
            <v>18.5</v>
          </cell>
        </row>
        <row r="114">
          <cell r="A114" t="str">
            <v>C93</v>
          </cell>
          <cell r="B114" t="str">
            <v>1" FAPT</v>
          </cell>
          <cell r="C114" t="str">
            <v>CPVC FITTING</v>
          </cell>
          <cell r="D114">
            <v>31.95</v>
          </cell>
        </row>
        <row r="115">
          <cell r="A115" t="str">
            <v>C94</v>
          </cell>
          <cell r="B115" t="str">
            <v>1-1/4" FAPT</v>
          </cell>
          <cell r="C115" t="str">
            <v>CPVC FITTING</v>
          </cell>
          <cell r="D115">
            <v>58.6</v>
          </cell>
        </row>
        <row r="116">
          <cell r="A116" t="str">
            <v>C95</v>
          </cell>
          <cell r="B116" t="str">
            <v>1-1/2"  FAPT</v>
          </cell>
          <cell r="C116" t="str">
            <v>CPVC FITTING</v>
          </cell>
          <cell r="D116">
            <v>84.25</v>
          </cell>
        </row>
        <row r="117">
          <cell r="A117" t="str">
            <v>C96</v>
          </cell>
          <cell r="B117" t="str">
            <v>2" FAPT</v>
          </cell>
          <cell r="C117" t="str">
            <v>CPVC FITTING</v>
          </cell>
          <cell r="D117">
            <v>148</v>
          </cell>
        </row>
        <row r="118">
          <cell r="A118" t="str">
            <v>C97</v>
          </cell>
          <cell r="B118" t="str">
            <v>2-1/2" FAPT</v>
          </cell>
          <cell r="C118" t="str">
            <v>CPVC FITTING</v>
          </cell>
          <cell r="D118">
            <v>207</v>
          </cell>
        </row>
        <row r="119">
          <cell r="A119" t="str">
            <v>C98</v>
          </cell>
          <cell r="B119" t="str">
            <v>3" FAPT</v>
          </cell>
          <cell r="C119" t="str">
            <v>CPVC FITTING</v>
          </cell>
          <cell r="D119">
            <v>389</v>
          </cell>
        </row>
        <row r="120">
          <cell r="A120" t="str">
            <v>C99</v>
          </cell>
          <cell r="B120" t="str">
            <v>4" FAPT</v>
          </cell>
          <cell r="C120" t="str">
            <v>CPVC FITTING</v>
          </cell>
          <cell r="D120">
            <v>600</v>
          </cell>
        </row>
        <row r="121">
          <cell r="A121" t="str">
            <v>C101</v>
          </cell>
          <cell r="B121" t="str">
            <v>3/4"x1/2" MAPT</v>
          </cell>
          <cell r="C121" t="str">
            <v>CPVC FITTING</v>
          </cell>
          <cell r="D121">
            <v>15.7</v>
          </cell>
        </row>
        <row r="122">
          <cell r="A122" t="str">
            <v>C102</v>
          </cell>
          <cell r="B122" t="str">
            <v>3/4" MAPT</v>
          </cell>
          <cell r="C122" t="str">
            <v>CPVC FITTING</v>
          </cell>
          <cell r="D122">
            <v>15.72</v>
          </cell>
        </row>
        <row r="123">
          <cell r="A123" t="str">
            <v>C103</v>
          </cell>
          <cell r="B123" t="str">
            <v>1" MAPT</v>
          </cell>
          <cell r="C123" t="str">
            <v>CPVC FITTING</v>
          </cell>
          <cell r="D123">
            <v>22.625</v>
          </cell>
        </row>
        <row r="124">
          <cell r="A124" t="str">
            <v>C104</v>
          </cell>
          <cell r="B124" t="str">
            <v>1-1/4" MAPT</v>
          </cell>
          <cell r="C124" t="str">
            <v>CPVC FITTING</v>
          </cell>
          <cell r="D124">
            <v>37.1</v>
          </cell>
        </row>
        <row r="125">
          <cell r="A125" t="str">
            <v>C105</v>
          </cell>
          <cell r="B125" t="str">
            <v>1-1/2" MAPT</v>
          </cell>
          <cell r="C125" t="str">
            <v>CPVC FITTING</v>
          </cell>
          <cell r="D125">
            <v>57</v>
          </cell>
        </row>
        <row r="126">
          <cell r="A126" t="str">
            <v>C106</v>
          </cell>
          <cell r="B126" t="str">
            <v>2" MAPT</v>
          </cell>
          <cell r="C126" t="str">
            <v>CPVC FITTING</v>
          </cell>
          <cell r="D126">
            <v>116</v>
          </cell>
        </row>
        <row r="127">
          <cell r="A127" t="str">
            <v>C107</v>
          </cell>
          <cell r="B127" t="str">
            <v>2-1/2" MAPT</v>
          </cell>
          <cell r="C127" t="str">
            <v>CPVC FITTING</v>
          </cell>
          <cell r="D127">
            <v>213</v>
          </cell>
        </row>
        <row r="128">
          <cell r="A128" t="str">
            <v>C108</v>
          </cell>
          <cell r="B128" t="str">
            <v>3" MAPT</v>
          </cell>
          <cell r="C128" t="str">
            <v>CPVC FITTING</v>
          </cell>
          <cell r="D128">
            <v>302</v>
          </cell>
        </row>
        <row r="129">
          <cell r="A129" t="str">
            <v>C109</v>
          </cell>
          <cell r="B129" t="str">
            <v>4" MAPT</v>
          </cell>
          <cell r="C129" t="str">
            <v>CPVC FITTING</v>
          </cell>
          <cell r="D129">
            <v>610</v>
          </cell>
        </row>
        <row r="130">
          <cell r="A130" t="str">
            <v>C131</v>
          </cell>
          <cell r="B130" t="str">
            <v>1"X1/2" MAPT</v>
          </cell>
          <cell r="C130" t="str">
            <v>CPVC FITTING</v>
          </cell>
          <cell r="D130">
            <v>24</v>
          </cell>
        </row>
        <row r="131">
          <cell r="A131" t="str">
            <v>C132</v>
          </cell>
          <cell r="B131" t="str">
            <v>1"X3/4" MAPT</v>
          </cell>
          <cell r="C131" t="str">
            <v>CPVC FITTING</v>
          </cell>
          <cell r="D131">
            <v>24</v>
          </cell>
        </row>
        <row r="132">
          <cell r="A132" t="str">
            <v>C221</v>
          </cell>
          <cell r="B132" t="str">
            <v>3/4"x1/2" RED. TEE</v>
          </cell>
          <cell r="C132" t="str">
            <v>CPVC FITTING</v>
          </cell>
          <cell r="D132">
            <v>21</v>
          </cell>
        </row>
        <row r="133">
          <cell r="A133" t="str">
            <v>C232</v>
          </cell>
          <cell r="B133" t="str">
            <v>1"x3/4" RED. TEE</v>
          </cell>
          <cell r="C133" t="str">
            <v>CPVC FITTING</v>
          </cell>
          <cell r="D133">
            <v>39</v>
          </cell>
        </row>
        <row r="134">
          <cell r="A134" t="str">
            <v>C242</v>
          </cell>
          <cell r="B134" t="str">
            <v>1-1/4"x3/4" RED. TEE</v>
          </cell>
          <cell r="C134" t="str">
            <v>CPVC FITTING</v>
          </cell>
          <cell r="D134">
            <v>59.95</v>
          </cell>
        </row>
        <row r="135">
          <cell r="A135" t="str">
            <v>C243</v>
          </cell>
          <cell r="B135" t="str">
            <v>1-1/4"x1" RED. TEE</v>
          </cell>
          <cell r="C135" t="str">
            <v>CPVC FITTING</v>
          </cell>
          <cell r="D135">
            <v>65.8</v>
          </cell>
        </row>
        <row r="136">
          <cell r="A136" t="str">
            <v>C253</v>
          </cell>
          <cell r="B136" t="str">
            <v>1-1/2"x1" RED. TEE</v>
          </cell>
          <cell r="C136" t="str">
            <v>CPVC FITTING</v>
          </cell>
          <cell r="D136">
            <v>96.7</v>
          </cell>
        </row>
        <row r="137">
          <cell r="A137" t="str">
            <v>C320</v>
          </cell>
          <cell r="B137" t="str">
            <v>3/4" CROSS TEE</v>
          </cell>
          <cell r="C137" t="str">
            <v>CPVC FITTING</v>
          </cell>
          <cell r="D137">
            <v>42</v>
          </cell>
        </row>
        <row r="138">
          <cell r="A138" t="str">
            <v>C330</v>
          </cell>
          <cell r="B138" t="str">
            <v>1" CROSS TEE</v>
          </cell>
          <cell r="C138" t="str">
            <v>CPVC FITTING</v>
          </cell>
          <cell r="D138">
            <v>56</v>
          </cell>
        </row>
        <row r="139">
          <cell r="A139" t="str">
            <v>C321</v>
          </cell>
          <cell r="B139" t="str">
            <v>1/2" BRASS TEE</v>
          </cell>
          <cell r="C139" t="str">
            <v>CPVC FITTING</v>
          </cell>
          <cell r="D139">
            <v>25</v>
          </cell>
        </row>
        <row r="140">
          <cell r="A140" t="str">
            <v>C322</v>
          </cell>
          <cell r="B140" t="str">
            <v>3/4" x1/2" BRASS TEE</v>
          </cell>
          <cell r="C140" t="str">
            <v>CPVC FITTING</v>
          </cell>
          <cell r="D140">
            <v>36.5</v>
          </cell>
        </row>
        <row r="141">
          <cell r="A141" t="str">
            <v>C323</v>
          </cell>
          <cell r="B141" t="str">
            <v>1"x1/2"  BRASS TEE</v>
          </cell>
          <cell r="C141" t="str">
            <v>CPVC FITTING</v>
          </cell>
          <cell r="D141">
            <v>49.63</v>
          </cell>
        </row>
        <row r="142">
          <cell r="A142" t="str">
            <v>C333</v>
          </cell>
          <cell r="B142" t="str">
            <v>3/4"x3/4" BRASS TEE</v>
          </cell>
          <cell r="C142" t="str">
            <v>CPVC FITTING</v>
          </cell>
          <cell r="D142">
            <v>38</v>
          </cell>
        </row>
        <row r="143">
          <cell r="A143" t="str">
            <v>C342</v>
          </cell>
          <cell r="B143" t="str">
            <v>1-1/4"x1/2" BRASS TEE</v>
          </cell>
          <cell r="C143" t="str">
            <v>CPVC FITTING</v>
          </cell>
          <cell r="D143">
            <v>79.8</v>
          </cell>
        </row>
        <row r="144">
          <cell r="A144" t="str">
            <v>C344</v>
          </cell>
          <cell r="B144" t="str">
            <v>1-1/4" BRASS TEE</v>
          </cell>
          <cell r="C144" t="str">
            <v>CPVC FITTING</v>
          </cell>
          <cell r="D144">
            <v>109</v>
          </cell>
        </row>
        <row r="145">
          <cell r="A145" t="str">
            <v>C502</v>
          </cell>
          <cell r="B145" t="str">
            <v>3/4" 45⁰ ELBOW</v>
          </cell>
          <cell r="C145" t="str">
            <v>CPVC FITTING</v>
          </cell>
          <cell r="D145">
            <v>16.8</v>
          </cell>
        </row>
        <row r="146">
          <cell r="A146" t="str">
            <v>C503</v>
          </cell>
          <cell r="B146" t="str">
            <v>1" 45⁰ ELBOW</v>
          </cell>
          <cell r="C146" t="str">
            <v>CPVC FITTING</v>
          </cell>
          <cell r="D146">
            <v>29</v>
          </cell>
        </row>
        <row r="147">
          <cell r="A147" t="str">
            <v>C504</v>
          </cell>
          <cell r="B147" t="str">
            <v>1-1/4" 45⁰ ELBOW</v>
          </cell>
          <cell r="C147" t="str">
            <v>CPVC FITTING</v>
          </cell>
          <cell r="D147">
            <v>45.3</v>
          </cell>
        </row>
        <row r="148">
          <cell r="A148" t="str">
            <v>C505</v>
          </cell>
          <cell r="B148" t="str">
            <v>1-1/2" 45° ELBOW</v>
          </cell>
          <cell r="C148" t="str">
            <v>CPVC FITTING</v>
          </cell>
          <cell r="D148">
            <v>76</v>
          </cell>
        </row>
        <row r="149">
          <cell r="A149" t="str">
            <v>C506</v>
          </cell>
          <cell r="B149" t="str">
            <v>2" 45° ELBOW</v>
          </cell>
          <cell r="C149" t="str">
            <v>CPVC FITTING</v>
          </cell>
          <cell r="D149">
            <v>162.5</v>
          </cell>
        </row>
        <row r="150">
          <cell r="A150" t="str">
            <v>C521</v>
          </cell>
          <cell r="B150" t="str">
            <v>3/4"x1/2" 90⁰ BRASS ELBOW</v>
          </cell>
          <cell r="C150" t="str">
            <v>CPVC FITTING</v>
          </cell>
          <cell r="D150">
            <v>29.5</v>
          </cell>
        </row>
        <row r="151">
          <cell r="A151" t="str">
            <v>C523</v>
          </cell>
          <cell r="B151" t="str">
            <v>1"x1/2" BRASS 90° ELBOW</v>
          </cell>
          <cell r="C151" t="str">
            <v>CPVC FITTING</v>
          </cell>
          <cell r="D151">
            <v>36.5</v>
          </cell>
        </row>
        <row r="152">
          <cell r="A152" t="str">
            <v>C524</v>
          </cell>
          <cell r="B152" t="str">
            <v>1"x3/4" BRASS 90° ELBOW</v>
          </cell>
          <cell r="C152" t="str">
            <v>CPVC FITTING</v>
          </cell>
          <cell r="D152">
            <v>40</v>
          </cell>
        </row>
        <row r="153">
          <cell r="A153" t="str">
            <v>C526</v>
          </cell>
          <cell r="B153" t="str">
            <v>1/2" BRASS 90° ELBOW</v>
          </cell>
          <cell r="C153" t="str">
            <v>CPVC FITTING</v>
          </cell>
          <cell r="D153">
            <v>21.75</v>
          </cell>
        </row>
        <row r="154">
          <cell r="A154" t="str">
            <v>C527</v>
          </cell>
          <cell r="B154" t="str">
            <v>3/4" BRASS 90° ELBOW</v>
          </cell>
          <cell r="C154" t="str">
            <v>CPVC FITTING</v>
          </cell>
          <cell r="D154">
            <v>29.549999999999997</v>
          </cell>
        </row>
        <row r="155">
          <cell r="A155" t="str">
            <v>C528</v>
          </cell>
          <cell r="B155" t="str">
            <v>1" BRASS 90° ELBOW</v>
          </cell>
          <cell r="C155" t="str">
            <v>CPVC FITTING</v>
          </cell>
          <cell r="D155">
            <v>46.5</v>
          </cell>
        </row>
        <row r="156">
          <cell r="A156" t="str">
            <v>C529</v>
          </cell>
          <cell r="B156" t="str">
            <v>1-1/4" BRASS 90° ELBOW</v>
          </cell>
          <cell r="C156" t="str">
            <v>CPVC FITTING</v>
          </cell>
          <cell r="D156">
            <v>89.5</v>
          </cell>
        </row>
        <row r="157">
          <cell r="A157" t="str">
            <v>C601</v>
          </cell>
          <cell r="B157" t="str">
            <v>1/2" END CAP</v>
          </cell>
          <cell r="C157" t="str">
            <v>CPVC FITTING</v>
          </cell>
          <cell r="D157">
            <v>5.3</v>
          </cell>
        </row>
        <row r="158">
          <cell r="A158" t="str">
            <v>C602</v>
          </cell>
          <cell r="B158" t="str">
            <v>3/4"  END CAP</v>
          </cell>
          <cell r="C158" t="str">
            <v>CPVC FITTING</v>
          </cell>
          <cell r="D158">
            <v>7.65</v>
          </cell>
        </row>
        <row r="159">
          <cell r="A159" t="str">
            <v>C603</v>
          </cell>
          <cell r="B159" t="str">
            <v>1" END CAP</v>
          </cell>
          <cell r="C159" t="str">
            <v>CPVC FITTING</v>
          </cell>
          <cell r="D159">
            <v>15.675000000000001</v>
          </cell>
        </row>
        <row r="160">
          <cell r="A160" t="str">
            <v>C604</v>
          </cell>
          <cell r="B160" t="str">
            <v>1-1/4" END CAP</v>
          </cell>
          <cell r="C160" t="str">
            <v>CPVC FITTING</v>
          </cell>
          <cell r="D160">
            <v>27.5</v>
          </cell>
        </row>
        <row r="161">
          <cell r="A161" t="str">
            <v>C605</v>
          </cell>
          <cell r="B161" t="str">
            <v>1-1/2" END CAP</v>
          </cell>
          <cell r="C161" t="str">
            <v>CPVC FITTING</v>
          </cell>
          <cell r="D161">
            <v>41</v>
          </cell>
        </row>
        <row r="162">
          <cell r="A162" t="str">
            <v>C606</v>
          </cell>
          <cell r="B162" t="str">
            <v>2" END CAP</v>
          </cell>
          <cell r="C162" t="str">
            <v>CPVC FITTING</v>
          </cell>
          <cell r="D162">
            <v>87</v>
          </cell>
        </row>
        <row r="163">
          <cell r="A163" t="str">
            <v>C607</v>
          </cell>
          <cell r="B163" t="str">
            <v>2-1/2" END CAP</v>
          </cell>
          <cell r="C163" t="str">
            <v>CPVC FITTING</v>
          </cell>
          <cell r="D163">
            <v>203</v>
          </cell>
        </row>
        <row r="164">
          <cell r="A164" t="str">
            <v>C608</v>
          </cell>
          <cell r="B164" t="str">
            <v>3" END CAP</v>
          </cell>
          <cell r="C164" t="str">
            <v>CPVC FITTING</v>
          </cell>
          <cell r="D164">
            <v>289</v>
          </cell>
        </row>
        <row r="165">
          <cell r="A165" t="str">
            <v>C609</v>
          </cell>
          <cell r="B165" t="str">
            <v>4" END CAP</v>
          </cell>
          <cell r="C165" t="str">
            <v>CPVC FITTING</v>
          </cell>
          <cell r="D165">
            <v>505</v>
          </cell>
        </row>
        <row r="166">
          <cell r="A166" t="str">
            <v>C702</v>
          </cell>
          <cell r="B166" t="str">
            <v>3/4" TRANS. BUSH</v>
          </cell>
          <cell r="C166" t="str">
            <v>CPVC FITTING</v>
          </cell>
          <cell r="D166">
            <v>29.3</v>
          </cell>
        </row>
        <row r="167">
          <cell r="A167" t="str">
            <v>C703</v>
          </cell>
          <cell r="B167" t="str">
            <v>1" TRANS. BUSH</v>
          </cell>
          <cell r="C167" t="str">
            <v>CPVC FITTING</v>
          </cell>
          <cell r="D167">
            <v>25</v>
          </cell>
        </row>
        <row r="168">
          <cell r="A168" t="str">
            <v>C703N</v>
          </cell>
          <cell r="B168" t="str">
            <v>1" TRANS. BUSH</v>
          </cell>
          <cell r="C168" t="str">
            <v>CPVC FITTING</v>
          </cell>
          <cell r="D168">
            <v>12.9</v>
          </cell>
        </row>
        <row r="169">
          <cell r="A169" t="str">
            <v>C704</v>
          </cell>
          <cell r="B169" t="str">
            <v>1-1/4" TRANS. BUSH</v>
          </cell>
          <cell r="C169" t="str">
            <v>CPVC FITTING</v>
          </cell>
          <cell r="D169">
            <v>36.5</v>
          </cell>
        </row>
        <row r="170">
          <cell r="A170" t="str">
            <v>C731</v>
          </cell>
          <cell r="B170" t="str">
            <v>1"X1/2" MABT</v>
          </cell>
          <cell r="C170" t="str">
            <v>CPVC FITTING</v>
          </cell>
          <cell r="D170">
            <v>16.3</v>
          </cell>
        </row>
        <row r="171">
          <cell r="A171" t="str">
            <v>C732</v>
          </cell>
          <cell r="B171" t="str">
            <v>1"X3/4" MABT</v>
          </cell>
          <cell r="C171" t="str">
            <v>CPVC FITTING</v>
          </cell>
          <cell r="D171">
            <v>19</v>
          </cell>
        </row>
        <row r="172">
          <cell r="A172" t="str">
            <v>C-821</v>
          </cell>
          <cell r="B172" t="str">
            <v>3/4"X1/2" RED. BUSH</v>
          </cell>
          <cell r="C172" t="str">
            <v>CPVC FITTING</v>
          </cell>
          <cell r="D172">
            <v>7.5</v>
          </cell>
        </row>
        <row r="173">
          <cell r="A173" t="str">
            <v>C832</v>
          </cell>
          <cell r="B173" t="str">
            <v>1"x3/4" RED. BUSH</v>
          </cell>
          <cell r="C173" t="str">
            <v>CPVC FITTING</v>
          </cell>
          <cell r="D173">
            <v>12.25</v>
          </cell>
        </row>
        <row r="174">
          <cell r="A174" t="str">
            <v>C841</v>
          </cell>
          <cell r="B174" t="str">
            <v>1-1/4"x1/2" RED. BUSH</v>
          </cell>
          <cell r="C174" t="str">
            <v>CPVC FITTING</v>
          </cell>
          <cell r="D174">
            <v>23.65</v>
          </cell>
        </row>
        <row r="175">
          <cell r="A175" t="str">
            <v>C842</v>
          </cell>
          <cell r="B175" t="str">
            <v>1-1/4"x3/4" RED. BUSH</v>
          </cell>
          <cell r="C175" t="str">
            <v>CPVC FITTING</v>
          </cell>
          <cell r="D175">
            <v>24.75</v>
          </cell>
        </row>
        <row r="176">
          <cell r="A176" t="str">
            <v>C843</v>
          </cell>
          <cell r="B176" t="str">
            <v>1-1/4"x1" RED. BUSH</v>
          </cell>
          <cell r="C176" t="str">
            <v>CPVC FITTING</v>
          </cell>
          <cell r="D176">
            <v>17.7</v>
          </cell>
        </row>
        <row r="177">
          <cell r="A177" t="str">
            <v>C851</v>
          </cell>
          <cell r="B177" t="str">
            <v>1-1/2"x1/2" RED. BUSH</v>
          </cell>
          <cell r="C177" t="str">
            <v>CPVC FITTING</v>
          </cell>
          <cell r="D177">
            <v>34.5</v>
          </cell>
        </row>
        <row r="178">
          <cell r="A178" t="str">
            <v>C852</v>
          </cell>
          <cell r="B178" t="str">
            <v>1-1/2"x3/4" RED. BUSH</v>
          </cell>
          <cell r="C178" t="str">
            <v>CPVC FITTING</v>
          </cell>
          <cell r="D178">
            <v>36.75</v>
          </cell>
        </row>
        <row r="179">
          <cell r="A179" t="str">
            <v>C853</v>
          </cell>
          <cell r="B179" t="str">
            <v>1-1/2"x1" RED. BUSH</v>
          </cell>
          <cell r="C179" t="str">
            <v>CPVC FITTING</v>
          </cell>
          <cell r="D179">
            <v>36</v>
          </cell>
        </row>
        <row r="180">
          <cell r="A180" t="str">
            <v>C854</v>
          </cell>
          <cell r="B180" t="str">
            <v>1-1/2"x1-1/4" RED. BUSH</v>
          </cell>
          <cell r="C180" t="str">
            <v>CPVC FITTING</v>
          </cell>
          <cell r="D180">
            <v>24.25</v>
          </cell>
        </row>
        <row r="181">
          <cell r="A181" t="str">
            <v>C862</v>
          </cell>
          <cell r="B181" t="str">
            <v>2"x3/4" RED. BUSH</v>
          </cell>
          <cell r="C181" t="str">
            <v>CPVC FITTING</v>
          </cell>
          <cell r="D181">
            <v>77.5</v>
          </cell>
        </row>
        <row r="182">
          <cell r="A182" t="str">
            <v>C863</v>
          </cell>
          <cell r="B182" t="str">
            <v>2"x1" RED. BUSH</v>
          </cell>
          <cell r="C182" t="str">
            <v>CPVC FITTING</v>
          </cell>
          <cell r="D182">
            <v>77</v>
          </cell>
        </row>
        <row r="183">
          <cell r="A183" t="str">
            <v>C864</v>
          </cell>
          <cell r="B183" t="str">
            <v>2"x1-1/4" RED. BUSH</v>
          </cell>
          <cell r="C183" t="str">
            <v>CPVC FITTING</v>
          </cell>
          <cell r="D183">
            <v>81.5</v>
          </cell>
        </row>
        <row r="184">
          <cell r="A184" t="str">
            <v>C865</v>
          </cell>
          <cell r="B184" t="str">
            <v>2"x1-1/2" RED. BUSH</v>
          </cell>
          <cell r="C184" t="str">
            <v>CPVC FITTING</v>
          </cell>
          <cell r="D184">
            <v>69.5</v>
          </cell>
        </row>
        <row r="185">
          <cell r="A185" t="str">
            <v>C875</v>
          </cell>
          <cell r="B185" t="str">
            <v>2-1/2"X1-1/2" RED. BUSH</v>
          </cell>
          <cell r="C185" t="str">
            <v>CPVC FITTING</v>
          </cell>
          <cell r="D185">
            <v>178.5</v>
          </cell>
        </row>
        <row r="186">
          <cell r="A186" t="str">
            <v>C876</v>
          </cell>
          <cell r="B186" t="str">
            <v>2-1/2"x2" RED. BUSH</v>
          </cell>
          <cell r="C186" t="str">
            <v>CPVC FITTING</v>
          </cell>
          <cell r="D186">
            <v>161</v>
          </cell>
        </row>
        <row r="187">
          <cell r="A187" t="str">
            <v>C886</v>
          </cell>
          <cell r="B187" t="str">
            <v>3"X2" RED. BUSH</v>
          </cell>
          <cell r="C187" t="str">
            <v>CPVC FITTING</v>
          </cell>
          <cell r="D187">
            <v>335</v>
          </cell>
        </row>
        <row r="188">
          <cell r="A188" t="str">
            <v>C887</v>
          </cell>
          <cell r="B188" t="str">
            <v>3"X2-1/2" RED. BUSH</v>
          </cell>
          <cell r="C188" t="str">
            <v>CPVC FITTING</v>
          </cell>
          <cell r="D188">
            <v>239</v>
          </cell>
        </row>
        <row r="189">
          <cell r="A189" t="str">
            <v>C896</v>
          </cell>
          <cell r="B189" t="str">
            <v>4"x2" RED. BUSH</v>
          </cell>
          <cell r="C189" t="str">
            <v>CPVC FITTING</v>
          </cell>
          <cell r="D189">
            <v>499.5</v>
          </cell>
        </row>
        <row r="190">
          <cell r="A190" t="str">
            <v>C897</v>
          </cell>
          <cell r="B190" t="str">
            <v>4"x3" RED. BUSH</v>
          </cell>
          <cell r="C190" t="str">
            <v>CPVC FITTING</v>
          </cell>
          <cell r="D190">
            <v>423</v>
          </cell>
        </row>
        <row r="191">
          <cell r="A191" t="str">
            <v>C898</v>
          </cell>
          <cell r="B191" t="str">
            <v>4"X2-1/2" RED. BUSH</v>
          </cell>
          <cell r="C191" t="str">
            <v>CPVC FITTING</v>
          </cell>
          <cell r="D191">
            <v>574</v>
          </cell>
        </row>
        <row r="192">
          <cell r="A192" t="str">
            <v>C920</v>
          </cell>
          <cell r="B192" t="str">
            <v>3/4"x1/2" BRASS COUPLING</v>
          </cell>
          <cell r="C192" t="str">
            <v>CPVC FITTING</v>
          </cell>
          <cell r="D192">
            <v>19.25</v>
          </cell>
        </row>
        <row r="193">
          <cell r="A193" t="str">
            <v>C921</v>
          </cell>
          <cell r="B193" t="str">
            <v>3/4"x1/2" RED. COUPLING</v>
          </cell>
          <cell r="C193" t="str">
            <v>CPVC FITTING</v>
          </cell>
          <cell r="D193">
            <v>10</v>
          </cell>
        </row>
        <row r="194">
          <cell r="A194" t="str">
            <v>C932</v>
          </cell>
          <cell r="B194" t="str">
            <v>1"x3/4" RED. COUPLING</v>
          </cell>
          <cell r="C194" t="str">
            <v>CPVC FITTING</v>
          </cell>
          <cell r="D194">
            <v>19.5</v>
          </cell>
        </row>
        <row r="195">
          <cell r="A195" t="str">
            <v>C930</v>
          </cell>
          <cell r="B195" t="str">
            <v>1"x1/2" BRASS COUPLING</v>
          </cell>
          <cell r="C195" t="str">
            <v>CPVC FITTING</v>
          </cell>
          <cell r="D195">
            <v>30.5</v>
          </cell>
        </row>
        <row r="196">
          <cell r="A196" t="str">
            <v>C940</v>
          </cell>
          <cell r="B196" t="str">
            <v>1"x3/4" BRASS COUPLING</v>
          </cell>
          <cell r="C196" t="str">
            <v>CPVC FITTING</v>
          </cell>
          <cell r="D196">
            <v>25.5</v>
          </cell>
        </row>
        <row r="197">
          <cell r="A197" t="str">
            <v>C942</v>
          </cell>
          <cell r="B197" t="str">
            <v xml:space="preserve">1-1/4X3/4" RED COUPLER </v>
          </cell>
          <cell r="C197" t="str">
            <v>CPVC FITTING</v>
          </cell>
          <cell r="D197">
            <v>61.15</v>
          </cell>
        </row>
        <row r="198">
          <cell r="A198" t="str">
            <v>C943</v>
          </cell>
          <cell r="B198" t="str">
            <v>1-1/4"x1" RED. COUPLING</v>
          </cell>
          <cell r="C198" t="str">
            <v>CPVC FITTING</v>
          </cell>
          <cell r="D198">
            <v>32</v>
          </cell>
        </row>
        <row r="199">
          <cell r="A199" t="str">
            <v>C953</v>
          </cell>
          <cell r="B199" t="str">
            <v xml:space="preserve">1-1/2X1 RED COUPLER </v>
          </cell>
          <cell r="C199" t="str">
            <v>CPVC FITTING</v>
          </cell>
          <cell r="D199">
            <v>51.5</v>
          </cell>
        </row>
        <row r="200">
          <cell r="A200" t="str">
            <v>C954</v>
          </cell>
          <cell r="B200" t="str">
            <v>1-1/2X1-1/4 RED COUPLER</v>
          </cell>
          <cell r="C200" t="str">
            <v>CPVC FITTING</v>
          </cell>
          <cell r="D200">
            <v>56.9</v>
          </cell>
        </row>
        <row r="201">
          <cell r="A201" t="str">
            <v>PC1</v>
          </cell>
          <cell r="B201" t="str">
            <v>1/2" PIPE CLAMP</v>
          </cell>
          <cell r="C201" t="str">
            <v>CPVC FITTING</v>
          </cell>
          <cell r="D201">
            <v>1.43</v>
          </cell>
        </row>
        <row r="202">
          <cell r="A202" t="str">
            <v>PC2</v>
          </cell>
          <cell r="B202" t="str">
            <v>3/4" PIPE CLAMP</v>
          </cell>
          <cell r="C202" t="str">
            <v>CPVC FITTING</v>
          </cell>
          <cell r="D202">
            <v>1.51</v>
          </cell>
        </row>
        <row r="203">
          <cell r="A203" t="str">
            <v>PC3</v>
          </cell>
          <cell r="B203" t="str">
            <v>1" PIPE CLAMP</v>
          </cell>
          <cell r="C203" t="str">
            <v>CPVC FITTING</v>
          </cell>
          <cell r="D203">
            <v>2.12</v>
          </cell>
        </row>
        <row r="204">
          <cell r="A204" t="str">
            <v>PP1</v>
          </cell>
          <cell r="B204" t="str">
            <v>1/2" THREADING END PLUG</v>
          </cell>
          <cell r="C204" t="str">
            <v>CPVC FITTING</v>
          </cell>
          <cell r="D204">
            <v>15.35</v>
          </cell>
        </row>
        <row r="205">
          <cell r="A205" t="str">
            <v>PP2</v>
          </cell>
          <cell r="B205" t="str">
            <v>3/4" THREADING END PLUG</v>
          </cell>
          <cell r="C205" t="str">
            <v>CPVC FITTING</v>
          </cell>
          <cell r="D205">
            <v>19</v>
          </cell>
        </row>
        <row r="206">
          <cell r="A206" t="str">
            <v>CH72</v>
          </cell>
          <cell r="B206" t="str">
            <v>3/4" CPVC TRIANGLE CONCEALED VALVE</v>
          </cell>
          <cell r="C206" t="str">
            <v>CPVC FITTING</v>
          </cell>
          <cell r="D206">
            <v>53.1</v>
          </cell>
        </row>
        <row r="207">
          <cell r="A207" t="str">
            <v>CH74</v>
          </cell>
          <cell r="B207" t="str">
            <v>3/4" CPVC GREACIA CONCEALED VALVE</v>
          </cell>
          <cell r="C207" t="str">
            <v>CPVC FITTING</v>
          </cell>
          <cell r="D207">
            <v>53.1</v>
          </cell>
        </row>
        <row r="208">
          <cell r="A208" t="str">
            <v>CH76</v>
          </cell>
          <cell r="B208" t="str">
            <v>3/4" CPVC MACASA CONCEALED VALVE</v>
          </cell>
          <cell r="C208" t="str">
            <v>CPVC FITTING</v>
          </cell>
          <cell r="D208">
            <v>53.1</v>
          </cell>
        </row>
        <row r="209">
          <cell r="A209" t="str">
            <v>CH78</v>
          </cell>
          <cell r="B209" t="str">
            <v>3/4" CPVC URBONA CONCEALED VALVE</v>
          </cell>
          <cell r="C209" t="str">
            <v>CPVC FITTING</v>
          </cell>
          <cell r="D209">
            <v>53.1</v>
          </cell>
        </row>
        <row r="210">
          <cell r="A210" t="str">
            <v>CH79</v>
          </cell>
          <cell r="B210" t="str">
            <v>3/4" CPVC SAGA CONCEALED VALVE</v>
          </cell>
          <cell r="C210" t="str">
            <v>CPVC FITTING</v>
          </cell>
          <cell r="D210">
            <v>53.1</v>
          </cell>
        </row>
        <row r="211">
          <cell r="A211" t="str">
            <v>CH80</v>
          </cell>
          <cell r="B211" t="str">
            <v>3/4" CPVC VIVA CONCEALED VALVE</v>
          </cell>
          <cell r="C211" t="str">
            <v>CPVC FITTING</v>
          </cell>
          <cell r="D211">
            <v>53.1</v>
          </cell>
        </row>
        <row r="212">
          <cell r="A212" t="str">
            <v>CH72QS</v>
          </cell>
          <cell r="B212" t="str">
            <v>3/4" CPVC TRIANGLE CONCEALED VALVE</v>
          </cell>
          <cell r="C212" t="str">
            <v>CPVC FITTING</v>
          </cell>
          <cell r="D212">
            <v>53.1</v>
          </cell>
        </row>
        <row r="213">
          <cell r="A213" t="str">
            <v>CH74QS</v>
          </cell>
          <cell r="B213" t="str">
            <v>3/4" CPVC GREACIA CONCEALED VALVE</v>
          </cell>
          <cell r="C213" t="str">
            <v>CPVC FITTING</v>
          </cell>
          <cell r="D213">
            <v>53.1</v>
          </cell>
        </row>
        <row r="214">
          <cell r="A214" t="str">
            <v>CH76QS</v>
          </cell>
          <cell r="B214" t="str">
            <v>3/4" CPVC MACASA CONCEALED VALVE</v>
          </cell>
          <cell r="C214" t="str">
            <v>CPVC FITTING</v>
          </cell>
          <cell r="D214">
            <v>53.1</v>
          </cell>
        </row>
        <row r="215">
          <cell r="A215" t="str">
            <v>CH78QS</v>
          </cell>
          <cell r="B215" t="str">
            <v>3/4" CPVC URBONA CONCEALED VALVE</v>
          </cell>
          <cell r="C215" t="str">
            <v>CPVC FITTING</v>
          </cell>
          <cell r="D215">
            <v>53.1</v>
          </cell>
        </row>
        <row r="216">
          <cell r="A216" t="str">
            <v>CH79QS</v>
          </cell>
          <cell r="B216" t="str">
            <v>3/4" CPVC SAGA CONCEALED VALVE</v>
          </cell>
          <cell r="C216" t="str">
            <v>CPVC FITTING</v>
          </cell>
          <cell r="D216">
            <v>53.1</v>
          </cell>
        </row>
        <row r="217">
          <cell r="A217" t="str">
            <v>CH80QS</v>
          </cell>
          <cell r="B217" t="str">
            <v>3/4" CPVC VIVA CONCEALED VALVE</v>
          </cell>
          <cell r="C217" t="str">
            <v>CPVC FITTING</v>
          </cell>
          <cell r="D217">
            <v>53.1</v>
          </cell>
        </row>
        <row r="218">
          <cell r="A218" t="str">
            <v>CH72F</v>
          </cell>
          <cell r="B218" t="str">
            <v>3/4" CPVC TRIANGLE CONCEALED VALVE</v>
          </cell>
          <cell r="C218" t="str">
            <v>CPVC FITTING</v>
          </cell>
          <cell r="D218">
            <v>68.900000000000006</v>
          </cell>
        </row>
        <row r="219">
          <cell r="A219" t="str">
            <v>CH74F</v>
          </cell>
          <cell r="B219" t="str">
            <v>3/4" CPVC TRIANGLE CONCEALED VALVE</v>
          </cell>
          <cell r="C219" t="str">
            <v>CPVC FITTING</v>
          </cell>
          <cell r="D219">
            <v>68.900000000000006</v>
          </cell>
        </row>
        <row r="220">
          <cell r="A220" t="str">
            <v>CH76F</v>
          </cell>
          <cell r="B220" t="str">
            <v>3/4" CPVC TRIANGLE CONCEALED VALVE</v>
          </cell>
          <cell r="C220" t="str">
            <v>CPVC FITTING</v>
          </cell>
          <cell r="D220">
            <v>68.900000000000006</v>
          </cell>
        </row>
        <row r="221">
          <cell r="A221" t="str">
            <v>CH78F</v>
          </cell>
          <cell r="B221" t="str">
            <v>3/4" CPVC TRIANGLE CONCEALED VALVE</v>
          </cell>
          <cell r="C221" t="str">
            <v>CPVC FITTING</v>
          </cell>
          <cell r="D221">
            <v>68.900000000000006</v>
          </cell>
        </row>
        <row r="222">
          <cell r="A222" t="str">
            <v>CH79F</v>
          </cell>
          <cell r="B222" t="str">
            <v>3/4" CPVC TRIANGLE CONCEALED VALVE</v>
          </cell>
          <cell r="C222" t="str">
            <v>CPVC FITTING</v>
          </cell>
          <cell r="D222">
            <v>68.900000000000006</v>
          </cell>
        </row>
        <row r="223">
          <cell r="A223" t="str">
            <v>CH80F</v>
          </cell>
          <cell r="B223" t="str">
            <v>3/4" CPVC TRIANGLE CONCEALED VALVE</v>
          </cell>
          <cell r="C223" t="str">
            <v>CPVC FITTING</v>
          </cell>
          <cell r="D223">
            <v>68.900000000000006</v>
          </cell>
        </row>
        <row r="224">
          <cell r="A224" t="str">
            <v>CH82F</v>
          </cell>
          <cell r="B224" t="str">
            <v>3/4" CPVC TRIANGLE CONCEALED VALVE</v>
          </cell>
          <cell r="C224" t="str">
            <v>CPVC FITTING</v>
          </cell>
          <cell r="D224">
            <v>68.900000000000006</v>
          </cell>
        </row>
        <row r="225">
          <cell r="A225" t="str">
            <v>CHA72 F</v>
          </cell>
          <cell r="B225" t="str">
            <v>3/4" CPVC TRIANGLE CONCEALED VALVE(Acc.)</v>
          </cell>
          <cell r="C225" t="str">
            <v>CPVC FITTING</v>
          </cell>
          <cell r="D225">
            <v>0</v>
          </cell>
        </row>
        <row r="226">
          <cell r="A226" t="str">
            <v>CF12</v>
          </cell>
          <cell r="B226" t="str">
            <v xml:space="preserve">2-1/2" CPVC SOCKET FLANGE </v>
          </cell>
          <cell r="C226" t="str">
            <v>CPVC FITTING</v>
          </cell>
          <cell r="D226">
            <v>0</v>
          </cell>
        </row>
        <row r="227">
          <cell r="A227" t="str">
            <v>CF13</v>
          </cell>
          <cell r="B227" t="str">
            <v>3" CPVC SOCKET FLANGE</v>
          </cell>
          <cell r="C227" t="str">
            <v>CPVC FITTING</v>
          </cell>
          <cell r="D227">
            <v>692</v>
          </cell>
        </row>
        <row r="228">
          <cell r="A228" t="str">
            <v>CF14</v>
          </cell>
          <cell r="B228" t="str">
            <v>4" CPVC SOCKET FLANGE</v>
          </cell>
          <cell r="C228" t="str">
            <v>CPVC FITTING</v>
          </cell>
          <cell r="D228">
            <v>1277</v>
          </cell>
        </row>
        <row r="229">
          <cell r="A229" t="str">
            <v>C121</v>
          </cell>
          <cell r="B229" t="str">
            <v>1/2" CPVC SHORT BEBD</v>
          </cell>
          <cell r="C229" t="str">
            <v>CPVC FITTING</v>
          </cell>
          <cell r="D229">
            <v>0</v>
          </cell>
        </row>
        <row r="230">
          <cell r="A230" t="str">
            <v>C122</v>
          </cell>
          <cell r="B230" t="str">
            <v>3/4"" CPVC SHORT BEBD</v>
          </cell>
          <cell r="C230" t="str">
            <v>CPVC FITTING</v>
          </cell>
          <cell r="D230">
            <v>38</v>
          </cell>
        </row>
        <row r="231">
          <cell r="A231" t="str">
            <v>C123</v>
          </cell>
          <cell r="B231" t="str">
            <v>1" CPVC SHORT BEBD</v>
          </cell>
          <cell r="C231" t="str">
            <v>CPVC FITTING</v>
          </cell>
          <cell r="D231">
            <v>83</v>
          </cell>
        </row>
        <row r="232">
          <cell r="A232" t="str">
            <v>C124</v>
          </cell>
          <cell r="B232" t="str">
            <v>1-1/4" CPVC SHORT BEBD</v>
          </cell>
          <cell r="C232" t="str">
            <v>CPVC FITTING</v>
          </cell>
          <cell r="D232">
            <v>123</v>
          </cell>
        </row>
        <row r="233">
          <cell r="A233" t="str">
            <v>C125</v>
          </cell>
          <cell r="B233" t="str">
            <v>1-1/2" CPVC SHORT BEBD</v>
          </cell>
          <cell r="C233" t="str">
            <v>CPVC FITTING</v>
          </cell>
          <cell r="D233">
            <v>0</v>
          </cell>
        </row>
        <row r="234">
          <cell r="A234" t="str">
            <v>C126</v>
          </cell>
          <cell r="B234" t="str">
            <v>2" CPVC SHORT BEBD</v>
          </cell>
          <cell r="C234" t="str">
            <v>CPVC FITTING</v>
          </cell>
          <cell r="D234">
            <v>0</v>
          </cell>
        </row>
        <row r="235">
          <cell r="A235" t="str">
            <v>U21</v>
          </cell>
          <cell r="B235" t="str">
            <v>1/2" BALL VALVE</v>
          </cell>
          <cell r="C235" t="str">
            <v>UPVC FITTING</v>
          </cell>
          <cell r="D235">
            <v>74.28</v>
          </cell>
        </row>
        <row r="236">
          <cell r="A236" t="str">
            <v>U22</v>
          </cell>
          <cell r="B236" t="str">
            <v>3/4" BALL VALVE</v>
          </cell>
          <cell r="C236" t="str">
            <v>UPVC FITTING</v>
          </cell>
          <cell r="D236">
            <v>111.4</v>
          </cell>
        </row>
        <row r="237">
          <cell r="A237" t="str">
            <v>U23</v>
          </cell>
          <cell r="B237" t="str">
            <v>1" BALL VALVE</v>
          </cell>
          <cell r="C237" t="str">
            <v>UPVC FITTING</v>
          </cell>
          <cell r="D237">
            <v>184.2</v>
          </cell>
        </row>
        <row r="238">
          <cell r="A238" t="str">
            <v>U24</v>
          </cell>
          <cell r="B238" t="str">
            <v>1-1/4" BALL VALVE</v>
          </cell>
          <cell r="C238" t="str">
            <v>UPVC FITTING</v>
          </cell>
          <cell r="D238">
            <v>268.69</v>
          </cell>
        </row>
        <row r="239">
          <cell r="A239" t="str">
            <v>U25</v>
          </cell>
          <cell r="B239" t="str">
            <v>1-1/2" BALL VALVE</v>
          </cell>
          <cell r="C239" t="str">
            <v>UPVC FITTING</v>
          </cell>
          <cell r="D239">
            <v>366.04</v>
          </cell>
        </row>
        <row r="240">
          <cell r="A240" t="str">
            <v>U26</v>
          </cell>
          <cell r="B240" t="str">
            <v>2" BALL VALVE</v>
          </cell>
          <cell r="C240" t="str">
            <v>UPVC FITTING</v>
          </cell>
          <cell r="D240">
            <v>601.5</v>
          </cell>
        </row>
        <row r="241">
          <cell r="A241" t="str">
            <v>U21-L</v>
          </cell>
          <cell r="B241" t="str">
            <v>1/2" BALL VALVE (long handle)</v>
          </cell>
          <cell r="C241" t="str">
            <v>UPVC FITTING</v>
          </cell>
          <cell r="D241">
            <v>73.540000000000006</v>
          </cell>
        </row>
        <row r="242">
          <cell r="A242" t="str">
            <v>U22-L</v>
          </cell>
          <cell r="B242" t="str">
            <v>3/4" BALL VALVE (long handle)</v>
          </cell>
          <cell r="C242" t="str">
            <v>UPVC FITTING</v>
          </cell>
          <cell r="D242">
            <v>116.99</v>
          </cell>
        </row>
        <row r="243">
          <cell r="A243" t="str">
            <v>U23-L</v>
          </cell>
          <cell r="B243" t="str">
            <v>1" BALL VALVE (long handle)</v>
          </cell>
          <cell r="C243" t="str">
            <v>UPVC FITTING</v>
          </cell>
          <cell r="D243">
            <v>190.97</v>
          </cell>
        </row>
        <row r="244">
          <cell r="A244" t="str">
            <v>U24-L</v>
          </cell>
          <cell r="B244" t="str">
            <v>1-1/4" BALL VALVE (long handle)</v>
          </cell>
          <cell r="C244" t="str">
            <v>UPVC FITTING</v>
          </cell>
          <cell r="D244">
            <v>273.31</v>
          </cell>
        </row>
        <row r="245">
          <cell r="A245" t="str">
            <v>U25-L</v>
          </cell>
          <cell r="B245" t="str">
            <v>1-1/2" BALL VALVE (long handle)</v>
          </cell>
          <cell r="C245" t="str">
            <v>UPVC FITTING</v>
          </cell>
          <cell r="D245">
            <v>374.96</v>
          </cell>
        </row>
        <row r="246">
          <cell r="A246" t="str">
            <v>U26-L</v>
          </cell>
          <cell r="B246" t="str">
            <v>2" BALL VALVE (long handle)</v>
          </cell>
          <cell r="C246" t="str">
            <v>UPVC FITTING</v>
          </cell>
          <cell r="D246">
            <v>601.5</v>
          </cell>
        </row>
        <row r="247">
          <cell r="A247" t="str">
            <v>U27 L</v>
          </cell>
          <cell r="B247" t="str">
            <v>2-1/2" BALL VALVE (long handle)</v>
          </cell>
          <cell r="C247" t="str">
            <v>UPVC FITTING</v>
          </cell>
          <cell r="D247">
            <v>1.3</v>
          </cell>
        </row>
        <row r="248">
          <cell r="A248" t="str">
            <v>U28L</v>
          </cell>
          <cell r="B248" t="str">
            <v>3" BALL VALVE (long handle)</v>
          </cell>
          <cell r="C248" t="str">
            <v>UPVC FITTING</v>
          </cell>
          <cell r="D248">
            <v>1.8959999999999999</v>
          </cell>
        </row>
        <row r="249">
          <cell r="A249" t="str">
            <v>U29 L</v>
          </cell>
          <cell r="B249" t="str">
            <v>4" BALL VALVE (long handle)</v>
          </cell>
          <cell r="C249" t="str">
            <v>UPVC FITTING</v>
          </cell>
          <cell r="D249">
            <v>2.355</v>
          </cell>
        </row>
        <row r="250">
          <cell r="A250" t="str">
            <v>U21T</v>
          </cell>
          <cell r="B250" t="str">
            <v>1/2" UPVC BALL VALVE THR.</v>
          </cell>
          <cell r="C250" t="str">
            <v>UPVC FITTING</v>
          </cell>
          <cell r="D250">
            <v>71.2</v>
          </cell>
        </row>
        <row r="251">
          <cell r="A251" t="str">
            <v>U22T</v>
          </cell>
          <cell r="B251" t="str">
            <v>3/4" UPVC BALL VALVE THR.</v>
          </cell>
          <cell r="C251" t="str">
            <v>UPVC FITTING</v>
          </cell>
          <cell r="D251">
            <v>114.56</v>
          </cell>
        </row>
        <row r="252">
          <cell r="A252" t="str">
            <v>U23T</v>
          </cell>
          <cell r="B252" t="str">
            <v>1" UPVC BALL VALVE THR.</v>
          </cell>
          <cell r="C252" t="str">
            <v>UPVC FITTING</v>
          </cell>
          <cell r="D252">
            <v>181.6</v>
          </cell>
        </row>
        <row r="253">
          <cell r="A253" t="str">
            <v>U24T</v>
          </cell>
          <cell r="B253" t="str">
            <v>1-1/4" UPVC BALL VALVE THR.</v>
          </cell>
          <cell r="C253" t="str">
            <v>UPVC FITTING</v>
          </cell>
          <cell r="D253">
            <v>260</v>
          </cell>
        </row>
        <row r="254">
          <cell r="A254" t="str">
            <v>U25T</v>
          </cell>
          <cell r="B254" t="str">
            <v>1-1/2" UPVC BALL VALVE THR.</v>
          </cell>
          <cell r="C254" t="str">
            <v>UPVC FITTING</v>
          </cell>
          <cell r="D254">
            <v>399.86</v>
          </cell>
        </row>
        <row r="255">
          <cell r="A255" t="str">
            <v>U26T</v>
          </cell>
          <cell r="B255" t="str">
            <v>2" UPVC BALL VALVE THR.</v>
          </cell>
          <cell r="C255" t="str">
            <v>UPVC FITTING</v>
          </cell>
          <cell r="D255">
            <v>601.5</v>
          </cell>
        </row>
        <row r="256">
          <cell r="A256" t="str">
            <v>U21TL</v>
          </cell>
          <cell r="B256" t="str">
            <v>1/2" UPVC BALL VALVE  THR. (LONG LEVER )</v>
          </cell>
          <cell r="C256" t="str">
            <v>UPVC FITTING</v>
          </cell>
          <cell r="D256">
            <v>0</v>
          </cell>
        </row>
        <row r="257">
          <cell r="A257" t="str">
            <v>U22TL</v>
          </cell>
          <cell r="B257" t="str">
            <v>3/4" UPVC BALL VALVE  THR. (LONG LEVER )</v>
          </cell>
          <cell r="C257" t="str">
            <v>UPVC FITTING</v>
          </cell>
          <cell r="D257">
            <v>0</v>
          </cell>
        </row>
        <row r="258">
          <cell r="A258" t="str">
            <v>U23TL</v>
          </cell>
          <cell r="B258" t="str">
            <v>1" UPVC BALL VALVE  THR. (LONG LEVER )</v>
          </cell>
          <cell r="C258" t="str">
            <v>UPVC FITTING</v>
          </cell>
          <cell r="D258">
            <v>0</v>
          </cell>
        </row>
        <row r="259">
          <cell r="A259" t="str">
            <v>U24TL</v>
          </cell>
          <cell r="B259" t="str">
            <v>1-1/4" UPVC BALL VALVE  THR. (LONG LEVER )</v>
          </cell>
          <cell r="C259" t="str">
            <v>UPVC FITTING</v>
          </cell>
          <cell r="D259">
            <v>0</v>
          </cell>
        </row>
        <row r="260">
          <cell r="A260" t="str">
            <v>U25TL</v>
          </cell>
          <cell r="B260" t="str">
            <v>1-1/2" UPVC BALL VALVE  THR. (LONG LEVER )</v>
          </cell>
          <cell r="C260" t="str">
            <v>UPVC FITTING</v>
          </cell>
          <cell r="D260">
            <v>0</v>
          </cell>
        </row>
        <row r="261">
          <cell r="A261" t="str">
            <v>U26TL</v>
          </cell>
          <cell r="B261" t="str">
            <v>2" UPVC BALL VALVE  THR. (LONG LEVER )</v>
          </cell>
          <cell r="C261" t="str">
            <v>UPVC FITTING</v>
          </cell>
          <cell r="D261">
            <v>0</v>
          </cell>
        </row>
        <row r="262">
          <cell r="A262" t="str">
            <v>U22N</v>
          </cell>
          <cell r="B262" t="str">
            <v>3/4" BALL VALVE (long handle)</v>
          </cell>
          <cell r="C262" t="str">
            <v>UPVC FITTING</v>
          </cell>
          <cell r="D262">
            <v>112</v>
          </cell>
        </row>
        <row r="263">
          <cell r="A263" t="str">
            <v>U23N</v>
          </cell>
          <cell r="B263" t="str">
            <v>1" BALL VALVE (long handle)</v>
          </cell>
          <cell r="C263" t="str">
            <v>UPVC FITTING</v>
          </cell>
          <cell r="D263">
            <v>167</v>
          </cell>
        </row>
        <row r="264">
          <cell r="A264" t="str">
            <v>U24N</v>
          </cell>
          <cell r="B264" t="str">
            <v>1-1/4" BALL VALVE (long handle)</v>
          </cell>
          <cell r="C264" t="str">
            <v>UPVC FITTING</v>
          </cell>
          <cell r="D264">
            <v>276</v>
          </cell>
        </row>
        <row r="265">
          <cell r="A265" t="str">
            <v>U25N</v>
          </cell>
          <cell r="B265" t="str">
            <v>1-1/2" BALL VALVE (long handle)</v>
          </cell>
          <cell r="C265" t="str">
            <v>UPVC FITTING</v>
          </cell>
          <cell r="D265">
            <v>890</v>
          </cell>
        </row>
        <row r="266">
          <cell r="A266" t="str">
            <v>U26N</v>
          </cell>
          <cell r="B266" t="str">
            <v>2" BALL VALVE (long handle)</v>
          </cell>
          <cell r="C266" t="str">
            <v>UPVC FITTING</v>
          </cell>
          <cell r="D266">
            <v>0</v>
          </cell>
        </row>
        <row r="267">
          <cell r="A267" t="str">
            <v>U22NL</v>
          </cell>
          <cell r="B267" t="str">
            <v>3/4" BALL VALVE (long handle)</v>
          </cell>
          <cell r="C267" t="str">
            <v>UPVC FITTING</v>
          </cell>
          <cell r="D267">
            <v>112</v>
          </cell>
        </row>
        <row r="268">
          <cell r="A268" t="str">
            <v>U23NL</v>
          </cell>
          <cell r="B268" t="str">
            <v>1" BALL VALVE (long handle)</v>
          </cell>
          <cell r="C268" t="str">
            <v>UPVC FITTING</v>
          </cell>
          <cell r="D268">
            <v>172.8</v>
          </cell>
        </row>
        <row r="269">
          <cell r="A269" t="str">
            <v>U24NL</v>
          </cell>
          <cell r="B269" t="str">
            <v>1-1/4" BALL VALVE (long handle)</v>
          </cell>
          <cell r="C269" t="str">
            <v>UPVC FITTING</v>
          </cell>
          <cell r="D269">
            <v>276.89999999999998</v>
          </cell>
        </row>
        <row r="270">
          <cell r="A270" t="str">
            <v>U25NL</v>
          </cell>
          <cell r="B270" t="str">
            <v>1-1/2" BALL VALVE (long handle)</v>
          </cell>
          <cell r="C270" t="str">
            <v>UPVC FITTING</v>
          </cell>
          <cell r="D270">
            <v>446.5</v>
          </cell>
        </row>
        <row r="271">
          <cell r="A271" t="str">
            <v>U26NL</v>
          </cell>
          <cell r="B271" t="str">
            <v>2" BALL VALVE (long handle)</v>
          </cell>
          <cell r="C271" t="str">
            <v>UPVC FITTING</v>
          </cell>
          <cell r="D271">
            <v>0</v>
          </cell>
        </row>
        <row r="272">
          <cell r="A272" t="str">
            <v>U121</v>
          </cell>
          <cell r="B272" t="str">
            <v>1/2" UPVC SHORT BEBD</v>
          </cell>
          <cell r="C272" t="str">
            <v>UPVC FITTING</v>
          </cell>
          <cell r="D272">
            <v>52</v>
          </cell>
        </row>
        <row r="273">
          <cell r="A273" t="str">
            <v>U122</v>
          </cell>
          <cell r="B273" t="str">
            <v>3/4"" UPVC SHORT BEBD</v>
          </cell>
          <cell r="C273" t="str">
            <v>UPVC FITTING</v>
          </cell>
          <cell r="D273">
            <v>70.400000000000006</v>
          </cell>
        </row>
        <row r="274">
          <cell r="A274" t="str">
            <v>U123</v>
          </cell>
          <cell r="B274" t="str">
            <v>1" UPVC SHORT BEBD</v>
          </cell>
          <cell r="C274" t="str">
            <v>UPVC FITTING</v>
          </cell>
          <cell r="D274">
            <v>124</v>
          </cell>
        </row>
        <row r="275">
          <cell r="A275" t="str">
            <v>U124</v>
          </cell>
          <cell r="B275" t="str">
            <v>1-1/4" UPVC SHORT BEBD</v>
          </cell>
          <cell r="C275" t="str">
            <v>UPVC FITTING</v>
          </cell>
          <cell r="D275">
            <v>0</v>
          </cell>
        </row>
        <row r="276">
          <cell r="A276" t="str">
            <v>U125</v>
          </cell>
          <cell r="B276" t="str">
            <v>1-1/2" UPVC SHORT BEBD</v>
          </cell>
          <cell r="C276" t="str">
            <v>UPVC FITTING</v>
          </cell>
          <cell r="D276">
            <v>0</v>
          </cell>
        </row>
        <row r="277">
          <cell r="A277" t="str">
            <v>U126</v>
          </cell>
          <cell r="B277" t="str">
            <v>2" UPVC SHORT BEBD</v>
          </cell>
          <cell r="C277" t="str">
            <v>UPVC FITTING</v>
          </cell>
          <cell r="D277">
            <v>0</v>
          </cell>
        </row>
        <row r="278">
          <cell r="A278" t="str">
            <v>U31</v>
          </cell>
          <cell r="B278" t="str">
            <v>1/2" UNION</v>
          </cell>
          <cell r="C278" t="str">
            <v>UPVC FITTING</v>
          </cell>
          <cell r="D278">
            <v>56.949999999999996</v>
          </cell>
        </row>
        <row r="279">
          <cell r="A279" t="str">
            <v>U32</v>
          </cell>
          <cell r="B279" t="str">
            <v>3/4" UNION</v>
          </cell>
          <cell r="C279" t="str">
            <v>UPVC FITTING</v>
          </cell>
          <cell r="D279">
            <v>76.849999999999994</v>
          </cell>
        </row>
        <row r="280">
          <cell r="A280" t="str">
            <v>U33</v>
          </cell>
          <cell r="B280" t="str">
            <v xml:space="preserve">1" UNION </v>
          </cell>
          <cell r="C280" t="str">
            <v>UPVC FITTING</v>
          </cell>
          <cell r="D280">
            <v>107.65</v>
          </cell>
        </row>
        <row r="281">
          <cell r="A281" t="str">
            <v>U34</v>
          </cell>
          <cell r="B281" t="str">
            <v>1-1/4" UNION</v>
          </cell>
          <cell r="C281" t="str">
            <v>UPVC FITTING</v>
          </cell>
          <cell r="D281">
            <v>164</v>
          </cell>
        </row>
        <row r="282">
          <cell r="A282" t="str">
            <v>U35</v>
          </cell>
          <cell r="B282" t="str">
            <v xml:space="preserve">1-1/2" UNION </v>
          </cell>
          <cell r="C282" t="str">
            <v>UPVC FITTING</v>
          </cell>
          <cell r="D282">
            <v>286.5</v>
          </cell>
        </row>
        <row r="283">
          <cell r="A283" t="str">
            <v>U36</v>
          </cell>
          <cell r="B283" t="str">
            <v xml:space="preserve">2" UNION </v>
          </cell>
          <cell r="C283" t="str">
            <v>UPVC FITTING</v>
          </cell>
          <cell r="D283">
            <v>500.9</v>
          </cell>
        </row>
        <row r="284">
          <cell r="A284" t="str">
            <v>U37</v>
          </cell>
          <cell r="B284" t="str">
            <v xml:space="preserve">2-1/2" UNION </v>
          </cell>
          <cell r="C284" t="str">
            <v>UPVC FITTING</v>
          </cell>
          <cell r="D284">
            <v>873</v>
          </cell>
        </row>
        <row r="285">
          <cell r="A285" t="str">
            <v>U38</v>
          </cell>
          <cell r="B285" t="str">
            <v xml:space="preserve">3" UNION </v>
          </cell>
          <cell r="C285" t="str">
            <v>UPVC FITTING</v>
          </cell>
          <cell r="D285">
            <v>1339.9</v>
          </cell>
        </row>
        <row r="286">
          <cell r="A286" t="str">
            <v>U39</v>
          </cell>
          <cell r="B286" t="str">
            <v xml:space="preserve">4" UNION </v>
          </cell>
          <cell r="C286" t="str">
            <v>UPVC FITTING</v>
          </cell>
          <cell r="D286">
            <v>2281</v>
          </cell>
        </row>
        <row r="287">
          <cell r="A287" t="str">
            <v>U272</v>
          </cell>
          <cell r="B287" t="str">
            <v>3/4" TANK NIPPLE</v>
          </cell>
          <cell r="C287" t="str">
            <v>UPVC FITTING</v>
          </cell>
          <cell r="D287">
            <v>71.3</v>
          </cell>
        </row>
        <row r="288">
          <cell r="A288" t="str">
            <v>U273</v>
          </cell>
          <cell r="B288" t="str">
            <v>1" TANK NIPPLE</v>
          </cell>
          <cell r="C288" t="str">
            <v>UPVC FITTING</v>
          </cell>
          <cell r="D288">
            <v>78.5</v>
          </cell>
        </row>
        <row r="289">
          <cell r="A289" t="str">
            <v>U274</v>
          </cell>
          <cell r="B289" t="str">
            <v>1-1/4" TANK NIPPLE</v>
          </cell>
          <cell r="C289" t="str">
            <v>UPVC FITTING</v>
          </cell>
          <cell r="D289">
            <v>111.1</v>
          </cell>
        </row>
        <row r="290">
          <cell r="A290" t="str">
            <v>U275</v>
          </cell>
          <cell r="B290" t="str">
            <v>1-1/2" TANK NIPPLE</v>
          </cell>
          <cell r="C290" t="str">
            <v>UPVC FITTING</v>
          </cell>
          <cell r="D290">
            <v>127</v>
          </cell>
        </row>
        <row r="291">
          <cell r="A291" t="str">
            <v>U276</v>
          </cell>
          <cell r="B291" t="str">
            <v>2" TANK NIPPLE</v>
          </cell>
          <cell r="C291" t="str">
            <v>UPVC FITTING</v>
          </cell>
          <cell r="D291">
            <v>206</v>
          </cell>
        </row>
        <row r="292">
          <cell r="A292" t="str">
            <v>U272N</v>
          </cell>
          <cell r="B292" t="str">
            <v>3/4" TANK NIPPLE (NEW)</v>
          </cell>
          <cell r="C292" t="str">
            <v>UPVC FITTING</v>
          </cell>
          <cell r="D292">
            <v>70.8</v>
          </cell>
        </row>
        <row r="293">
          <cell r="A293" t="str">
            <v>U273N</v>
          </cell>
          <cell r="B293" t="str">
            <v>1" TANK NIPPLE (NEW)</v>
          </cell>
          <cell r="C293" t="str">
            <v>UPVC FITTING</v>
          </cell>
          <cell r="D293">
            <v>76.5</v>
          </cell>
        </row>
        <row r="294">
          <cell r="A294" t="str">
            <v>U274N</v>
          </cell>
          <cell r="B294" t="str">
            <v>1-1/4" TANK NIPPLE (NEW)</v>
          </cell>
          <cell r="C294" t="str">
            <v>UPVC FITTING</v>
          </cell>
          <cell r="D294">
            <v>114.25</v>
          </cell>
        </row>
        <row r="295">
          <cell r="A295" t="str">
            <v>U275N</v>
          </cell>
          <cell r="B295" t="str">
            <v>1-1/2" TANK NIPPLE (NEW)</v>
          </cell>
          <cell r="C295" t="str">
            <v>UPVC FITTING</v>
          </cell>
          <cell r="D295">
            <v>161</v>
          </cell>
        </row>
        <row r="296">
          <cell r="A296" t="str">
            <v>U276N</v>
          </cell>
          <cell r="B296" t="str">
            <v>2" TANK NIPPLE (NEW)</v>
          </cell>
          <cell r="C296" t="str">
            <v>UPVC FITTING</v>
          </cell>
          <cell r="D296">
            <v>223</v>
          </cell>
        </row>
        <row r="297">
          <cell r="A297" t="str">
            <v>U277N</v>
          </cell>
          <cell r="B297" t="str">
            <v>2-1/2" TANK NIPPLE (NEW)</v>
          </cell>
          <cell r="C297" t="str">
            <v>UPVC FITTING</v>
          </cell>
          <cell r="D297">
            <v>714</v>
          </cell>
        </row>
        <row r="298">
          <cell r="A298" t="str">
            <v>U278N</v>
          </cell>
          <cell r="B298" t="str">
            <v>3" TANK NIPPLE (NEW)</v>
          </cell>
          <cell r="C298" t="str">
            <v>UPVC FITTING</v>
          </cell>
          <cell r="D298">
            <v>1217</v>
          </cell>
        </row>
        <row r="299">
          <cell r="A299" t="str">
            <v>U279N</v>
          </cell>
          <cell r="B299" t="str">
            <v>4" TANK NIPPLE (NEW)</v>
          </cell>
          <cell r="C299" t="str">
            <v>UPVC FITTING</v>
          </cell>
          <cell r="D299">
            <v>2126</v>
          </cell>
        </row>
        <row r="300">
          <cell r="A300" t="str">
            <v>U252</v>
          </cell>
          <cell r="B300" t="str">
            <v>1-1/2"X3/4" REDUCER TEE</v>
          </cell>
          <cell r="C300" t="str">
            <v>UPVC FITTING</v>
          </cell>
          <cell r="D300">
            <v>246.2</v>
          </cell>
        </row>
        <row r="301">
          <cell r="A301" t="str">
            <v>U254</v>
          </cell>
          <cell r="B301" t="str">
            <v>1-1/2"X1-1/4" REDUCER TEE</v>
          </cell>
          <cell r="C301" t="str">
            <v>UPVC FITTING</v>
          </cell>
          <cell r="D301">
            <v>224.8</v>
          </cell>
        </row>
        <row r="302">
          <cell r="A302" t="str">
            <v>U262</v>
          </cell>
          <cell r="B302" t="str">
            <v>2"X3/4" REDUCER TEE</v>
          </cell>
          <cell r="C302" t="str">
            <v>UPVC FITTING</v>
          </cell>
          <cell r="D302">
            <v>386.8</v>
          </cell>
        </row>
        <row r="303">
          <cell r="A303" t="str">
            <v>U263</v>
          </cell>
          <cell r="B303" t="str">
            <v>2"X1" REDUCER TEE</v>
          </cell>
          <cell r="C303" t="str">
            <v>UPVC FITTING</v>
          </cell>
          <cell r="D303">
            <v>399.47</v>
          </cell>
        </row>
        <row r="304">
          <cell r="A304" t="str">
            <v>U264</v>
          </cell>
          <cell r="B304" t="str">
            <v>2"X1-1/4" REDUCER TEE</v>
          </cell>
          <cell r="C304" t="str">
            <v>UPVC FITTING</v>
          </cell>
          <cell r="D304">
            <v>382.4</v>
          </cell>
        </row>
        <row r="305">
          <cell r="A305" t="str">
            <v>U954</v>
          </cell>
          <cell r="B305" t="str">
            <v>1-1/2"X1-1/4" REDUCER COUPLING</v>
          </cell>
          <cell r="C305" t="str">
            <v>UPVC FITTING</v>
          </cell>
          <cell r="D305">
            <v>121.4</v>
          </cell>
        </row>
        <row r="306">
          <cell r="A306" t="str">
            <v>U961</v>
          </cell>
          <cell r="B306" t="str">
            <v>2"X1/2" REDUCER COUPLING</v>
          </cell>
          <cell r="C306" t="str">
            <v>UPVC FITTING</v>
          </cell>
          <cell r="D306">
            <v>226.85</v>
          </cell>
        </row>
        <row r="307">
          <cell r="A307" t="str">
            <v>U962</v>
          </cell>
          <cell r="B307" t="str">
            <v>2"X3/4" REDUCER COUPLING</v>
          </cell>
          <cell r="C307" t="str">
            <v>UPVC FITTING</v>
          </cell>
          <cell r="D307">
            <v>225.85</v>
          </cell>
        </row>
        <row r="308">
          <cell r="A308" t="str">
            <v>U963</v>
          </cell>
          <cell r="B308" t="str">
            <v>2"X1" REDUCER COUPLING</v>
          </cell>
          <cell r="C308" t="str">
            <v>UPVC FITTING</v>
          </cell>
          <cell r="D308">
            <v>238.52</v>
          </cell>
        </row>
        <row r="309">
          <cell r="A309" t="str">
            <v>U964</v>
          </cell>
          <cell r="B309" t="str">
            <v>2"X1-1/4" REDUCER COUPLING</v>
          </cell>
          <cell r="C309" t="str">
            <v>UPVC FITTING</v>
          </cell>
          <cell r="D309">
            <v>221.45</v>
          </cell>
        </row>
        <row r="310">
          <cell r="A310" t="str">
            <v>U965</v>
          </cell>
          <cell r="B310" t="str">
            <v>2"X1-1/2" REDUCER COUPLING</v>
          </cell>
          <cell r="C310" t="str">
            <v>UPVC FITTING</v>
          </cell>
          <cell r="D310">
            <v>205.25</v>
          </cell>
        </row>
        <row r="311">
          <cell r="A311" t="str">
            <v>U951</v>
          </cell>
          <cell r="B311" t="str">
            <v>1-1/2"x1/2" RED. COUPLING</v>
          </cell>
          <cell r="C311" t="str">
            <v>UPVC FITTING</v>
          </cell>
          <cell r="D311">
            <v>147.05000000000001</v>
          </cell>
        </row>
        <row r="312">
          <cell r="A312" t="str">
            <v>U11</v>
          </cell>
          <cell r="B312" t="str">
            <v>1/2"  SOB</v>
          </cell>
          <cell r="C312" t="str">
            <v>UPVC FITTING</v>
          </cell>
          <cell r="D312">
            <v>58.8</v>
          </cell>
        </row>
        <row r="313">
          <cell r="A313" t="str">
            <v>U12</v>
          </cell>
          <cell r="B313" t="str">
            <v>3/4" SOB</v>
          </cell>
          <cell r="C313" t="str">
            <v>UPVC FITTING</v>
          </cell>
          <cell r="D313">
            <v>103.5</v>
          </cell>
        </row>
        <row r="314">
          <cell r="A314" t="str">
            <v>U13</v>
          </cell>
          <cell r="B314" t="str">
            <v>1" SOB</v>
          </cell>
          <cell r="C314" t="str">
            <v>UPVC FITTING</v>
          </cell>
          <cell r="D314">
            <v>199.3</v>
          </cell>
        </row>
        <row r="315">
          <cell r="A315" t="str">
            <v>U14</v>
          </cell>
          <cell r="B315" t="str">
            <v>1-1/4" SOB</v>
          </cell>
          <cell r="C315" t="str">
            <v>UPVC FITTING</v>
          </cell>
          <cell r="D315">
            <v>267</v>
          </cell>
        </row>
        <row r="316">
          <cell r="A316" t="str">
            <v>U15</v>
          </cell>
          <cell r="B316" t="str">
            <v>1-1/2" SOB</v>
          </cell>
          <cell r="C316" t="str">
            <v>UPVC FITTING</v>
          </cell>
          <cell r="D316">
            <v>463</v>
          </cell>
        </row>
        <row r="317">
          <cell r="A317" t="str">
            <v>UC21</v>
          </cell>
          <cell r="B317" t="str">
            <v>1/2" UPVC PIPE CLAMP</v>
          </cell>
          <cell r="C317" t="str">
            <v>UPVC FITTING</v>
          </cell>
          <cell r="D317">
            <v>4.45</v>
          </cell>
        </row>
        <row r="318">
          <cell r="A318" t="str">
            <v>UC22</v>
          </cell>
          <cell r="B318" t="str">
            <v>3/4" UPVC PIPE CLAMP</v>
          </cell>
          <cell r="C318" t="str">
            <v>UPVC FITTING</v>
          </cell>
          <cell r="D318">
            <v>7.8</v>
          </cell>
        </row>
        <row r="319">
          <cell r="A319" t="str">
            <v>UC23</v>
          </cell>
          <cell r="B319" t="str">
            <v>1" UPVC PIPE CLAMP</v>
          </cell>
          <cell r="C319" t="str">
            <v>UPVC FITTING</v>
          </cell>
          <cell r="D319">
            <v>12.6</v>
          </cell>
        </row>
        <row r="320">
          <cell r="A320" t="str">
            <v>U41</v>
          </cell>
          <cell r="B320" t="str">
            <v>1/2" COUPLING</v>
          </cell>
          <cell r="C320" t="str">
            <v>UPVC FITTING</v>
          </cell>
          <cell r="D320">
            <v>20.75</v>
          </cell>
        </row>
        <row r="321">
          <cell r="A321" t="str">
            <v>U42</v>
          </cell>
          <cell r="B321" t="str">
            <v>3/4" COUPLING</v>
          </cell>
          <cell r="C321" t="str">
            <v>UPVC FITTING</v>
          </cell>
          <cell r="D321">
            <v>29.75</v>
          </cell>
        </row>
        <row r="322">
          <cell r="A322" t="str">
            <v>U43</v>
          </cell>
          <cell r="B322" t="str">
            <v>1" COUPLING</v>
          </cell>
          <cell r="C322" t="str">
            <v>UPVC FITTING</v>
          </cell>
          <cell r="D322">
            <v>47.5</v>
          </cell>
        </row>
        <row r="323">
          <cell r="A323" t="str">
            <v>U44</v>
          </cell>
          <cell r="B323" t="str">
            <v>1-1/4" COUPLING</v>
          </cell>
          <cell r="C323" t="str">
            <v>UPVC FITTING</v>
          </cell>
          <cell r="D323">
            <v>70.349999999999994</v>
          </cell>
        </row>
        <row r="324">
          <cell r="A324" t="str">
            <v>U45</v>
          </cell>
          <cell r="B324" t="str">
            <v>1-1/2" COUPLING</v>
          </cell>
          <cell r="C324" t="str">
            <v>UPVC FITTING</v>
          </cell>
          <cell r="D324">
            <v>90.6</v>
          </cell>
        </row>
        <row r="325">
          <cell r="A325" t="str">
            <v>U46</v>
          </cell>
          <cell r="B325" t="str">
            <v>2" COUPLING</v>
          </cell>
          <cell r="C325" t="str">
            <v>UPVC FITTING</v>
          </cell>
          <cell r="D325">
            <v>133.85</v>
          </cell>
        </row>
        <row r="326">
          <cell r="A326" t="str">
            <v>U47</v>
          </cell>
          <cell r="B326" t="str">
            <v>2-1/2" COUPLING</v>
          </cell>
          <cell r="C326" t="str">
            <v>UPVC FITTING</v>
          </cell>
          <cell r="D326">
            <v>290</v>
          </cell>
        </row>
        <row r="327">
          <cell r="A327" t="str">
            <v>U48</v>
          </cell>
          <cell r="B327" t="str">
            <v>3" COUPLING</v>
          </cell>
          <cell r="C327" t="str">
            <v>UPVC FITTING</v>
          </cell>
          <cell r="D327">
            <v>403.6</v>
          </cell>
        </row>
        <row r="328">
          <cell r="A328" t="str">
            <v>U49</v>
          </cell>
          <cell r="B328" t="str">
            <v>4" COUPLING</v>
          </cell>
          <cell r="C328" t="str">
            <v>UPVC FITTING</v>
          </cell>
          <cell r="D328">
            <v>628.79999999999995</v>
          </cell>
        </row>
        <row r="329">
          <cell r="A329" t="str">
            <v>U49N</v>
          </cell>
          <cell r="B329" t="str">
            <v>6" COUPLING</v>
          </cell>
          <cell r="C329" t="str">
            <v>UPVC FITTING</v>
          </cell>
          <cell r="D329">
            <v>933.5</v>
          </cell>
        </row>
        <row r="330">
          <cell r="A330" t="str">
            <v>U50</v>
          </cell>
          <cell r="B330" t="str">
            <v>3/4"x1/2" 90° ELBOW</v>
          </cell>
          <cell r="C330" t="str">
            <v>UPVC FITTING</v>
          </cell>
          <cell r="D330">
            <v>40.299999999999997</v>
          </cell>
        </row>
        <row r="331">
          <cell r="A331" t="str">
            <v>U51</v>
          </cell>
          <cell r="B331" t="str">
            <v>1/2" 90° ELBOW</v>
          </cell>
          <cell r="C331" t="str">
            <v>UPVC FITTING</v>
          </cell>
          <cell r="D331">
            <v>29.5</v>
          </cell>
        </row>
        <row r="332">
          <cell r="A332" t="str">
            <v>U52</v>
          </cell>
          <cell r="B332" t="str">
            <v>3/4" 90° ELBOW</v>
          </cell>
          <cell r="C332" t="str">
            <v>UPVC FITTING</v>
          </cell>
          <cell r="D332">
            <v>41.25</v>
          </cell>
        </row>
        <row r="333">
          <cell r="A333" t="str">
            <v>U53</v>
          </cell>
          <cell r="B333" t="str">
            <v>1" 90° ELBOW</v>
          </cell>
          <cell r="C333" t="str">
            <v>UPVC FITTING</v>
          </cell>
          <cell r="D333">
            <v>72.95</v>
          </cell>
        </row>
        <row r="334">
          <cell r="A334" t="str">
            <v>U54</v>
          </cell>
          <cell r="B334" t="str">
            <v>1-1/4" 90° ELBOW</v>
          </cell>
          <cell r="C334" t="str">
            <v>UPVC FITTING</v>
          </cell>
          <cell r="D334">
            <v>111.3</v>
          </cell>
        </row>
        <row r="335">
          <cell r="A335" t="str">
            <v>U55</v>
          </cell>
          <cell r="B335" t="str">
            <v>1-1/2" 90° ELBOW</v>
          </cell>
          <cell r="C335" t="str">
            <v>UPVC FITTING</v>
          </cell>
          <cell r="D335">
            <v>146.5</v>
          </cell>
        </row>
        <row r="336">
          <cell r="A336" t="str">
            <v>U56</v>
          </cell>
          <cell r="B336" t="str">
            <v>2" 90° ELBOW</v>
          </cell>
          <cell r="C336" t="str">
            <v>UPVC FITTING</v>
          </cell>
          <cell r="D336">
            <v>216.1</v>
          </cell>
        </row>
        <row r="337">
          <cell r="A337" t="str">
            <v>U57</v>
          </cell>
          <cell r="B337" t="str">
            <v>2-1/2" 90° ELBOW</v>
          </cell>
          <cell r="C337" t="str">
            <v>UPVC FITTING</v>
          </cell>
          <cell r="D337">
            <v>491.5</v>
          </cell>
        </row>
        <row r="338">
          <cell r="A338" t="str">
            <v>U58</v>
          </cell>
          <cell r="B338" t="str">
            <v>3" 90° ELBOW</v>
          </cell>
          <cell r="C338" t="str">
            <v>UPVC FITTING</v>
          </cell>
          <cell r="D338">
            <v>785.8</v>
          </cell>
        </row>
        <row r="339">
          <cell r="A339" t="str">
            <v>U59</v>
          </cell>
          <cell r="B339" t="str">
            <v>4" 90° ELBOW</v>
          </cell>
          <cell r="C339" t="str">
            <v>UPVC FITTING</v>
          </cell>
          <cell r="D339">
            <v>1285</v>
          </cell>
        </row>
        <row r="340">
          <cell r="A340" t="str">
            <v>U59N</v>
          </cell>
          <cell r="B340" t="str">
            <v>6" 90° ELBOW</v>
          </cell>
          <cell r="C340" t="str">
            <v>UPVC FITTING</v>
          </cell>
          <cell r="D340">
            <v>1.89</v>
          </cell>
        </row>
        <row r="341">
          <cell r="A341" t="str">
            <v>U61</v>
          </cell>
          <cell r="B341" t="str">
            <v>1/2" TEE</v>
          </cell>
          <cell r="C341" t="str">
            <v>UPVC FITTING</v>
          </cell>
          <cell r="D341">
            <v>41.7</v>
          </cell>
        </row>
        <row r="342">
          <cell r="A342" t="str">
            <v>U62</v>
          </cell>
          <cell r="B342" t="str">
            <v>3/4" TEE</v>
          </cell>
          <cell r="C342" t="str">
            <v>UPVC FITTING</v>
          </cell>
          <cell r="D342">
            <v>57.2</v>
          </cell>
        </row>
        <row r="343">
          <cell r="A343" t="str">
            <v>U63</v>
          </cell>
          <cell r="B343" t="str">
            <v>1" TEE</v>
          </cell>
          <cell r="C343" t="str">
            <v>UPVC FITTING</v>
          </cell>
          <cell r="D343">
            <v>94</v>
          </cell>
        </row>
        <row r="344">
          <cell r="A344" t="str">
            <v>U64</v>
          </cell>
          <cell r="B344" t="str">
            <v>1-1/4" TEE</v>
          </cell>
          <cell r="C344" t="str">
            <v>UPVC FITTING</v>
          </cell>
          <cell r="D344">
            <v>146.1</v>
          </cell>
        </row>
        <row r="345">
          <cell r="A345" t="str">
            <v>U65</v>
          </cell>
          <cell r="B345" t="str">
            <v>1-1/2" TEE</v>
          </cell>
          <cell r="C345" t="str">
            <v>UPVC FITTING</v>
          </cell>
          <cell r="D345">
            <v>194</v>
          </cell>
        </row>
        <row r="346">
          <cell r="A346" t="str">
            <v>U66</v>
          </cell>
          <cell r="B346" t="str">
            <v>2" TEE</v>
          </cell>
          <cell r="C346" t="str">
            <v>UPVC FITTING</v>
          </cell>
          <cell r="D346">
            <v>294.8</v>
          </cell>
        </row>
        <row r="347">
          <cell r="A347" t="str">
            <v>U67</v>
          </cell>
          <cell r="B347" t="str">
            <v>2-1/2" TEE</v>
          </cell>
          <cell r="C347" t="str">
            <v>UPVC FITTING</v>
          </cell>
          <cell r="D347">
            <v>647.20000000000005</v>
          </cell>
        </row>
        <row r="348">
          <cell r="A348" t="str">
            <v>U68</v>
          </cell>
          <cell r="B348" t="str">
            <v>3" TEE</v>
          </cell>
          <cell r="C348" t="str">
            <v>UPVC FITTING</v>
          </cell>
          <cell r="D348">
            <v>986.9</v>
          </cell>
        </row>
        <row r="349">
          <cell r="A349" t="str">
            <v>U69</v>
          </cell>
          <cell r="B349" t="str">
            <v>4" TEE</v>
          </cell>
          <cell r="C349" t="str">
            <v>UPVC FITTING</v>
          </cell>
          <cell r="D349">
            <v>1605</v>
          </cell>
        </row>
        <row r="350">
          <cell r="A350" t="str">
            <v>U69N</v>
          </cell>
          <cell r="B350" t="str">
            <v>6" TEE</v>
          </cell>
          <cell r="C350" t="str">
            <v>UPVC FITTING</v>
          </cell>
          <cell r="D350">
            <v>2384</v>
          </cell>
        </row>
        <row r="351">
          <cell r="A351" t="str">
            <v>U70</v>
          </cell>
          <cell r="B351" t="str">
            <v>3/4"x1/2" MABT</v>
          </cell>
          <cell r="C351" t="str">
            <v>UPVC FITTING</v>
          </cell>
          <cell r="D351">
            <v>32.25</v>
          </cell>
        </row>
        <row r="352">
          <cell r="A352" t="str">
            <v>U71</v>
          </cell>
          <cell r="B352" t="str">
            <v>1/2" MABT</v>
          </cell>
          <cell r="C352" t="str">
            <v>UPVC FITTING</v>
          </cell>
          <cell r="D352">
            <v>29</v>
          </cell>
        </row>
        <row r="353">
          <cell r="A353" t="str">
            <v>U72</v>
          </cell>
          <cell r="B353" t="str">
            <v>3/4" MABT</v>
          </cell>
          <cell r="C353" t="str">
            <v>UPVC FITTING</v>
          </cell>
          <cell r="D353">
            <v>36.25</v>
          </cell>
        </row>
        <row r="354">
          <cell r="A354" t="str">
            <v>U73</v>
          </cell>
          <cell r="B354" t="str">
            <v>1" MABT</v>
          </cell>
          <cell r="C354" t="str">
            <v>UPVC FITTING</v>
          </cell>
          <cell r="D354">
            <v>67</v>
          </cell>
        </row>
        <row r="355">
          <cell r="A355" t="str">
            <v>U74</v>
          </cell>
          <cell r="B355" t="str">
            <v>1-1/4" MABT</v>
          </cell>
          <cell r="C355" t="str">
            <v>UPVC FITTING</v>
          </cell>
          <cell r="D355">
            <v>80.349999999999994</v>
          </cell>
        </row>
        <row r="356">
          <cell r="A356" t="str">
            <v>U75</v>
          </cell>
          <cell r="B356" t="str">
            <v>1-1/2" MABT</v>
          </cell>
          <cell r="C356" t="str">
            <v>UPVC FITTING</v>
          </cell>
          <cell r="D356">
            <v>96</v>
          </cell>
        </row>
        <row r="357">
          <cell r="A357" t="str">
            <v>U76</v>
          </cell>
          <cell r="B357" t="str">
            <v>2" MABT</v>
          </cell>
          <cell r="C357" t="str">
            <v>UPVC FITTING</v>
          </cell>
          <cell r="D357">
            <v>150.44999999999999</v>
          </cell>
        </row>
        <row r="358">
          <cell r="A358" t="str">
            <v>U731</v>
          </cell>
          <cell r="B358" t="str">
            <v>1"x1/2" MABT</v>
          </cell>
          <cell r="C358" t="str">
            <v>UPVC FITTING</v>
          </cell>
          <cell r="D358">
            <v>41</v>
          </cell>
        </row>
        <row r="359">
          <cell r="A359" t="str">
            <v>U81</v>
          </cell>
          <cell r="B359" t="str">
            <v>1/2" FABT</v>
          </cell>
          <cell r="C359" t="str">
            <v>UPVC FITTING</v>
          </cell>
          <cell r="D359">
            <v>26.62</v>
          </cell>
        </row>
        <row r="360">
          <cell r="A360" t="str">
            <v>U82</v>
          </cell>
          <cell r="B360" t="str">
            <v>3/4" FABT</v>
          </cell>
          <cell r="C360" t="str">
            <v>UPVC FITTING</v>
          </cell>
          <cell r="D360">
            <v>29</v>
          </cell>
        </row>
        <row r="361">
          <cell r="A361" t="str">
            <v>U83</v>
          </cell>
          <cell r="B361" t="str">
            <v>1" FABT</v>
          </cell>
          <cell r="C361" t="str">
            <v>UPVC FITTING</v>
          </cell>
          <cell r="D361">
            <v>57</v>
          </cell>
        </row>
        <row r="362">
          <cell r="A362" t="str">
            <v>U84</v>
          </cell>
          <cell r="B362" t="str">
            <v>1-1/4" FABT</v>
          </cell>
          <cell r="C362" t="str">
            <v>UPVC FITTING</v>
          </cell>
          <cell r="D362">
            <v>80.2</v>
          </cell>
        </row>
        <row r="363">
          <cell r="A363" t="str">
            <v>U85</v>
          </cell>
          <cell r="B363" t="str">
            <v>1-1/2" FABT</v>
          </cell>
          <cell r="C363" t="str">
            <v>UPVC FITTING</v>
          </cell>
          <cell r="D363">
            <v>108</v>
          </cell>
        </row>
        <row r="364">
          <cell r="A364" t="str">
            <v>U86</v>
          </cell>
          <cell r="B364" t="str">
            <v>2" FABT</v>
          </cell>
          <cell r="C364" t="str">
            <v>UPVC FITTING</v>
          </cell>
          <cell r="D364">
            <v>157.19999999999999</v>
          </cell>
        </row>
        <row r="365">
          <cell r="A365" t="str">
            <v>U920</v>
          </cell>
          <cell r="B365" t="str">
            <v>3/4"X1/2" FABT</v>
          </cell>
          <cell r="C365" t="str">
            <v>UPVC FITTING</v>
          </cell>
          <cell r="D365">
            <v>31.75</v>
          </cell>
        </row>
        <row r="366">
          <cell r="A366" t="str">
            <v>U930</v>
          </cell>
          <cell r="B366" t="str">
            <v>1"x1/2" FABT</v>
          </cell>
          <cell r="C366" t="str">
            <v>UPVC FITTING</v>
          </cell>
          <cell r="D366">
            <v>39.049999999999997</v>
          </cell>
        </row>
        <row r="367">
          <cell r="A367" t="str">
            <v>U89</v>
          </cell>
          <cell r="B367" t="str">
            <v>3/4"X1/2" FAPT</v>
          </cell>
          <cell r="C367" t="str">
            <v>UPVC FITTING</v>
          </cell>
          <cell r="D367">
            <v>32.25</v>
          </cell>
        </row>
        <row r="368">
          <cell r="A368" t="str">
            <v>U90</v>
          </cell>
          <cell r="B368" t="str">
            <v>1"X1/2" FAPT</v>
          </cell>
          <cell r="C368" t="str">
            <v>UPVC FITTING</v>
          </cell>
          <cell r="D368">
            <v>57.75</v>
          </cell>
        </row>
        <row r="369">
          <cell r="A369" t="str">
            <v>U91</v>
          </cell>
          <cell r="B369" t="str">
            <v>1/2" FAPT</v>
          </cell>
          <cell r="C369" t="str">
            <v>UPVC FITTING</v>
          </cell>
          <cell r="D369">
            <v>20.55</v>
          </cell>
        </row>
        <row r="370">
          <cell r="A370" t="str">
            <v>U92</v>
          </cell>
          <cell r="B370" t="str">
            <v>3/4" FAPT</v>
          </cell>
          <cell r="C370" t="str">
            <v>UPVC FITTING</v>
          </cell>
          <cell r="D370">
            <v>29.6</v>
          </cell>
        </row>
        <row r="371">
          <cell r="A371" t="str">
            <v>U93</v>
          </cell>
          <cell r="B371" t="str">
            <v>1" FAPT</v>
          </cell>
          <cell r="C371" t="str">
            <v>UPVC FITTING</v>
          </cell>
          <cell r="D371">
            <v>50.25</v>
          </cell>
        </row>
        <row r="372">
          <cell r="A372" t="str">
            <v>U94</v>
          </cell>
          <cell r="B372" t="str">
            <v>1-1/4" FAPT</v>
          </cell>
          <cell r="C372" t="str">
            <v>UPVC FITTING</v>
          </cell>
          <cell r="D372">
            <v>68.7</v>
          </cell>
        </row>
        <row r="373">
          <cell r="A373" t="str">
            <v>U95</v>
          </cell>
          <cell r="B373" t="str">
            <v>1-1/2" FAPT</v>
          </cell>
          <cell r="C373" t="str">
            <v>UPVC FITTING</v>
          </cell>
          <cell r="D373">
            <v>92.7</v>
          </cell>
        </row>
        <row r="374">
          <cell r="A374" t="str">
            <v>U96</v>
          </cell>
          <cell r="B374" t="str">
            <v>2" FAPT</v>
          </cell>
          <cell r="C374" t="str">
            <v>UPVC FITTING</v>
          </cell>
          <cell r="D374">
            <v>129</v>
          </cell>
        </row>
        <row r="375">
          <cell r="A375" t="str">
            <v>U97</v>
          </cell>
          <cell r="B375" t="str">
            <v>2-1/2" FAPT</v>
          </cell>
          <cell r="C375" t="str">
            <v>UPVC FITTING</v>
          </cell>
          <cell r="D375">
            <v>194.9</v>
          </cell>
        </row>
        <row r="376">
          <cell r="A376" t="str">
            <v>U98</v>
          </cell>
          <cell r="B376" t="str">
            <v>3" FAPT</v>
          </cell>
          <cell r="C376" t="str">
            <v>UPVC FITTING</v>
          </cell>
          <cell r="D376">
            <v>333.5</v>
          </cell>
        </row>
        <row r="377">
          <cell r="A377" t="str">
            <v>U99</v>
          </cell>
          <cell r="B377" t="str">
            <v>4" FAPT</v>
          </cell>
          <cell r="C377" t="str">
            <v>UPVC FITTING</v>
          </cell>
          <cell r="D377">
            <v>562.5</v>
          </cell>
        </row>
        <row r="378">
          <cell r="A378" t="str">
            <v>U101</v>
          </cell>
          <cell r="B378" t="str">
            <v>1/2" MAPT</v>
          </cell>
          <cell r="C378" t="str">
            <v>UPVC FITTING</v>
          </cell>
          <cell r="D378">
            <v>14.92</v>
          </cell>
        </row>
        <row r="379">
          <cell r="A379" t="str">
            <v>U102</v>
          </cell>
          <cell r="B379" t="str">
            <v>3/4" MAPT</v>
          </cell>
          <cell r="C379" t="str">
            <v>UPVC FITTING</v>
          </cell>
          <cell r="D379">
            <v>23</v>
          </cell>
        </row>
        <row r="380">
          <cell r="A380" t="str">
            <v>U103</v>
          </cell>
          <cell r="B380" t="str">
            <v>1" MAPT</v>
          </cell>
          <cell r="C380" t="str">
            <v>UPVC FITTING</v>
          </cell>
          <cell r="D380">
            <v>42.5</v>
          </cell>
        </row>
        <row r="381">
          <cell r="A381" t="str">
            <v>U104</v>
          </cell>
          <cell r="B381" t="str">
            <v>1-1/4" MAPT</v>
          </cell>
          <cell r="C381" t="str">
            <v>UPVC FITTING</v>
          </cell>
          <cell r="D381">
            <v>59.75</v>
          </cell>
        </row>
        <row r="382">
          <cell r="A382" t="str">
            <v>U105</v>
          </cell>
          <cell r="B382" t="str">
            <v>1-1/2" MAPT</v>
          </cell>
          <cell r="C382" t="str">
            <v>UPVC FITTING</v>
          </cell>
          <cell r="D382">
            <v>75.2</v>
          </cell>
        </row>
        <row r="383">
          <cell r="A383" t="str">
            <v>U106</v>
          </cell>
          <cell r="B383" t="str">
            <v>2" MAPT</v>
          </cell>
          <cell r="C383" t="str">
            <v>UPVC FITTING</v>
          </cell>
          <cell r="D383">
            <v>109.2</v>
          </cell>
        </row>
        <row r="384">
          <cell r="A384" t="str">
            <v>U107</v>
          </cell>
          <cell r="B384" t="str">
            <v>2-1/2" MAPT</v>
          </cell>
          <cell r="C384" t="str">
            <v>UPVC FITTING</v>
          </cell>
          <cell r="D384">
            <v>201.5</v>
          </cell>
        </row>
        <row r="385">
          <cell r="A385" t="str">
            <v>U108</v>
          </cell>
          <cell r="B385" t="str">
            <v>3" MAPT</v>
          </cell>
          <cell r="C385" t="str">
            <v>UPVC FITTING</v>
          </cell>
          <cell r="D385">
            <v>274.3</v>
          </cell>
        </row>
        <row r="386">
          <cell r="A386" t="str">
            <v>U109</v>
          </cell>
          <cell r="B386" t="str">
            <v>4" MAPT</v>
          </cell>
          <cell r="C386" t="str">
            <v>UPVC FITTING</v>
          </cell>
          <cell r="D386">
            <v>551.5</v>
          </cell>
        </row>
        <row r="387">
          <cell r="A387" t="str">
            <v>U221</v>
          </cell>
          <cell r="B387" t="str">
            <v>3/4"x1/2" RED. TEE</v>
          </cell>
          <cell r="C387" t="str">
            <v>UPVC FITTING</v>
          </cell>
          <cell r="D387">
            <v>54.5</v>
          </cell>
        </row>
        <row r="388">
          <cell r="A388" t="str">
            <v>U231</v>
          </cell>
          <cell r="B388" t="str">
            <v>1"x1/2" RED. TEE</v>
          </cell>
          <cell r="C388" t="str">
            <v>UPVC FITTING</v>
          </cell>
          <cell r="D388">
            <v>85.25</v>
          </cell>
        </row>
        <row r="389">
          <cell r="A389" t="str">
            <v>U232</v>
          </cell>
          <cell r="B389" t="str">
            <v>1"x3/4" RED TEE</v>
          </cell>
          <cell r="C389" t="str">
            <v>UPVC FITTING</v>
          </cell>
          <cell r="D389">
            <v>89</v>
          </cell>
        </row>
        <row r="390">
          <cell r="A390" t="str">
            <v>U241</v>
          </cell>
          <cell r="B390" t="str">
            <v>1-1/4"X1/2" RED TEE</v>
          </cell>
          <cell r="C390" t="str">
            <v>UPVC FITTING</v>
          </cell>
          <cell r="D390">
            <v>128.85</v>
          </cell>
        </row>
        <row r="391">
          <cell r="A391" t="str">
            <v>U242</v>
          </cell>
          <cell r="B391" t="str">
            <v>1-1/4"X3/4" RED TEE</v>
          </cell>
          <cell r="C391" t="str">
            <v>UPVC FITTING</v>
          </cell>
          <cell r="D391">
            <v>130.80000000000001</v>
          </cell>
        </row>
        <row r="392">
          <cell r="A392" t="str">
            <v>U243</v>
          </cell>
          <cell r="B392" t="str">
            <v>1-1/4"X1" RED TEE</v>
          </cell>
          <cell r="C392" t="str">
            <v>UPVC FITTING</v>
          </cell>
          <cell r="D392">
            <v>174.1</v>
          </cell>
        </row>
        <row r="393">
          <cell r="A393" t="str">
            <v>U251</v>
          </cell>
          <cell r="B393" t="str">
            <v>1-1/2"x1/2" RED. TEE</v>
          </cell>
          <cell r="C393" t="str">
            <v>UPVC FITTING</v>
          </cell>
          <cell r="D393">
            <v>165</v>
          </cell>
        </row>
        <row r="394">
          <cell r="A394" t="str">
            <v>U253</v>
          </cell>
          <cell r="B394" t="str">
            <v>1-1/2"x1" RED. TEE</v>
          </cell>
          <cell r="C394" t="str">
            <v>UPVC FITTING</v>
          </cell>
          <cell r="D394">
            <v>169.8</v>
          </cell>
        </row>
        <row r="395">
          <cell r="A395" t="str">
            <v>U261</v>
          </cell>
          <cell r="B395" t="str">
            <v>2"x1/2" RED. TEE</v>
          </cell>
          <cell r="C395" t="str">
            <v>UPVC FITTING</v>
          </cell>
          <cell r="D395">
            <v>242.8</v>
          </cell>
        </row>
        <row r="396">
          <cell r="A396" t="str">
            <v>U265</v>
          </cell>
          <cell r="B396" t="str">
            <v>2"x1-1/2" RED. TEE</v>
          </cell>
          <cell r="C396" t="str">
            <v>UPVC FITTING</v>
          </cell>
          <cell r="D396">
            <v>273</v>
          </cell>
        </row>
        <row r="397">
          <cell r="A397" t="str">
            <v>U310</v>
          </cell>
          <cell r="B397" t="str">
            <v>1/2" CROSS TEE</v>
          </cell>
          <cell r="C397" t="str">
            <v>UPVC FITTING</v>
          </cell>
          <cell r="D397">
            <v>49.77</v>
          </cell>
        </row>
        <row r="398">
          <cell r="A398" t="str">
            <v>U320</v>
          </cell>
          <cell r="B398" t="str">
            <v>3/4" CROSS TEE</v>
          </cell>
          <cell r="C398" t="str">
            <v>UPVC FITTING</v>
          </cell>
          <cell r="D398">
            <v>67.150000000000006</v>
          </cell>
        </row>
        <row r="399">
          <cell r="A399" t="str">
            <v>U330</v>
          </cell>
          <cell r="B399" t="str">
            <v>1" CROSS TEE</v>
          </cell>
          <cell r="C399" t="str">
            <v>UPVC FITTING</v>
          </cell>
          <cell r="D399">
            <v>109.5</v>
          </cell>
        </row>
        <row r="400">
          <cell r="A400" t="str">
            <v>U340</v>
          </cell>
          <cell r="B400" t="str">
            <v>1-1/4" CROSS TEE</v>
          </cell>
          <cell r="C400" t="str">
            <v>UPVC FITTING</v>
          </cell>
          <cell r="D400">
            <v>186.5</v>
          </cell>
        </row>
        <row r="401">
          <cell r="A401" t="str">
            <v>U321</v>
          </cell>
          <cell r="B401" t="str">
            <v>1/2" BRASS TEE</v>
          </cell>
          <cell r="C401" t="str">
            <v>UPVC FITTING</v>
          </cell>
          <cell r="D401">
            <v>46.759999999999991</v>
          </cell>
        </row>
        <row r="402">
          <cell r="A402" t="str">
            <v>U322</v>
          </cell>
          <cell r="B402" t="str">
            <v>3/4"x1/2" BRASS TEE</v>
          </cell>
          <cell r="C402" t="str">
            <v>UPVC FITTING</v>
          </cell>
          <cell r="D402">
            <v>62.62</v>
          </cell>
        </row>
        <row r="403">
          <cell r="A403" t="str">
            <v>U323</v>
          </cell>
          <cell r="B403" t="str">
            <v>1"x1/2" BRASS TEE</v>
          </cell>
          <cell r="C403" t="str">
            <v>UPVC FITTING</v>
          </cell>
          <cell r="D403">
            <v>89.75</v>
          </cell>
        </row>
        <row r="404">
          <cell r="A404" t="str">
            <v>U324</v>
          </cell>
          <cell r="B404" t="str">
            <v>1"x3/4" BRASS TEE</v>
          </cell>
          <cell r="C404" t="str">
            <v>UPVC FITTING</v>
          </cell>
          <cell r="D404">
            <v>86.5</v>
          </cell>
        </row>
        <row r="405">
          <cell r="A405" t="str">
            <v>U502</v>
          </cell>
          <cell r="B405" t="str">
            <v>3/4" 45° ELBOW</v>
          </cell>
          <cell r="C405" t="str">
            <v>UPVC FITTING</v>
          </cell>
          <cell r="D405">
            <v>38.950000000000003</v>
          </cell>
        </row>
        <row r="406">
          <cell r="A406" t="str">
            <v>U503</v>
          </cell>
          <cell r="B406" t="str">
            <v>1" 45° ELBOW</v>
          </cell>
          <cell r="C406" t="str">
            <v>UPVC FITTING</v>
          </cell>
          <cell r="D406">
            <v>62</v>
          </cell>
        </row>
        <row r="407">
          <cell r="A407" t="str">
            <v>U504</v>
          </cell>
          <cell r="B407" t="str">
            <v>1-1/4" 45° ELBOW</v>
          </cell>
          <cell r="C407" t="str">
            <v>UPVC FITTING</v>
          </cell>
          <cell r="D407">
            <v>98.5</v>
          </cell>
        </row>
        <row r="408">
          <cell r="A408" t="str">
            <v>U505</v>
          </cell>
          <cell r="B408" t="str">
            <v>1-1/2" 45° ELBOW</v>
          </cell>
          <cell r="C408" t="str">
            <v>UPVC FITTING</v>
          </cell>
          <cell r="D408">
            <v>129.5</v>
          </cell>
        </row>
        <row r="409">
          <cell r="A409" t="str">
            <v>U506</v>
          </cell>
          <cell r="B409" t="str">
            <v>2" 45° ELBOW</v>
          </cell>
          <cell r="C409" t="str">
            <v>UPVC FITTING</v>
          </cell>
          <cell r="D409">
            <v>192</v>
          </cell>
        </row>
        <row r="410">
          <cell r="A410" t="str">
            <v>U521</v>
          </cell>
          <cell r="B410" t="str">
            <v>3/4"x1/2" BRASS 90° ELBOW</v>
          </cell>
          <cell r="C410" t="str">
            <v>UPVC FITTING</v>
          </cell>
          <cell r="D410">
            <v>50.13</v>
          </cell>
        </row>
        <row r="411">
          <cell r="A411" t="str">
            <v>U523</v>
          </cell>
          <cell r="B411" t="str">
            <v>1"x1/2" BRASS 90° ELBOW</v>
          </cell>
          <cell r="C411" t="str">
            <v>UPVC FITTING</v>
          </cell>
          <cell r="D411">
            <v>66.75</v>
          </cell>
        </row>
        <row r="412">
          <cell r="A412" t="str">
            <v>U524</v>
          </cell>
          <cell r="B412" t="str">
            <v>1"x3/4" BRASS 90° ELBOW</v>
          </cell>
          <cell r="C412" t="str">
            <v>UPVC FITTING</v>
          </cell>
          <cell r="D412">
            <v>63.75</v>
          </cell>
        </row>
        <row r="413">
          <cell r="A413" t="str">
            <v>U526</v>
          </cell>
          <cell r="B413" t="str">
            <v>1/2" BRASS 90° ELBOW</v>
          </cell>
          <cell r="C413" t="str">
            <v>UPVC FITTING</v>
          </cell>
          <cell r="D413">
            <v>49.25</v>
          </cell>
        </row>
        <row r="414">
          <cell r="A414" t="str">
            <v>U527</v>
          </cell>
          <cell r="B414" t="str">
            <v>3/4"x3/4" BRASS 90° ELBOW</v>
          </cell>
          <cell r="C414" t="str">
            <v>UPVC FITTING</v>
          </cell>
          <cell r="D414">
            <v>46.25</v>
          </cell>
        </row>
        <row r="415">
          <cell r="A415" t="str">
            <v>U531</v>
          </cell>
          <cell r="B415" t="str">
            <v>1"x1/2" RED. 90° ELBOW</v>
          </cell>
          <cell r="C415" t="str">
            <v>UPVC FITTING</v>
          </cell>
          <cell r="D415">
            <v>61.3</v>
          </cell>
        </row>
        <row r="416">
          <cell r="A416" t="str">
            <v>U532</v>
          </cell>
          <cell r="B416" t="str">
            <v>1"x3/4" RED. 90° ELBOW</v>
          </cell>
          <cell r="C416" t="str">
            <v>UPVC FITTING</v>
          </cell>
          <cell r="D416">
            <v>65.3</v>
          </cell>
        </row>
        <row r="417">
          <cell r="A417" t="str">
            <v>U533</v>
          </cell>
          <cell r="B417" t="str">
            <v>1-1/4"x1/2" RED. 90° ELBOW</v>
          </cell>
          <cell r="C417" t="str">
            <v>UPVC FITTING</v>
          </cell>
          <cell r="D417">
            <v>80</v>
          </cell>
        </row>
        <row r="418">
          <cell r="A418" t="str">
            <v>U534</v>
          </cell>
          <cell r="B418" t="str">
            <v>1-1/4"x3/4" RED. 90° ELBOW</v>
          </cell>
          <cell r="C418" t="str">
            <v>UPVC FITTING</v>
          </cell>
          <cell r="D418">
            <v>85</v>
          </cell>
        </row>
        <row r="419">
          <cell r="A419" t="str">
            <v>U535</v>
          </cell>
          <cell r="B419" t="str">
            <v>1-1/4"X1" RED. 90° ELBOW</v>
          </cell>
          <cell r="C419" t="str">
            <v>UPVC FITTING</v>
          </cell>
          <cell r="D419">
            <v>104.8</v>
          </cell>
        </row>
        <row r="420">
          <cell r="A420" t="str">
            <v>U536</v>
          </cell>
          <cell r="B420" t="str">
            <v>1-1/2''x1/2" RED. 90° ELBOW</v>
          </cell>
          <cell r="C420" t="str">
            <v>UPVC FITTING</v>
          </cell>
          <cell r="D420">
            <v>97</v>
          </cell>
        </row>
        <row r="421">
          <cell r="A421" t="str">
            <v>U537</v>
          </cell>
          <cell r="B421" t="str">
            <v>1-1/2''x3/4" RED. 90° ELBOW</v>
          </cell>
          <cell r="C421" t="str">
            <v>UPVC FITTING</v>
          </cell>
          <cell r="D421">
            <v>108</v>
          </cell>
        </row>
        <row r="422">
          <cell r="A422" t="str">
            <v>U538</v>
          </cell>
          <cell r="B422" t="str">
            <v>1-1/2"X1" RED. 90° ELBOW</v>
          </cell>
          <cell r="C422" t="str">
            <v>UPVC FITTING</v>
          </cell>
          <cell r="D422">
            <v>128</v>
          </cell>
        </row>
        <row r="423">
          <cell r="A423" t="str">
            <v>U539</v>
          </cell>
          <cell r="B423" t="str">
            <v>1-1/2"X1-1/4" RED. 90° ELBOW</v>
          </cell>
          <cell r="C423" t="str">
            <v>UPVC FITTING</v>
          </cell>
          <cell r="D423">
            <v>153</v>
          </cell>
        </row>
        <row r="424">
          <cell r="A424" t="str">
            <v>U601</v>
          </cell>
          <cell r="B424" t="str">
            <v>1/2" END CAP</v>
          </cell>
          <cell r="C424" t="str">
            <v>UPVC FITTING</v>
          </cell>
          <cell r="D424">
            <v>12.9</v>
          </cell>
        </row>
        <row r="425">
          <cell r="A425" t="str">
            <v>U602</v>
          </cell>
          <cell r="B425" t="str">
            <v>3/4" END CAP</v>
          </cell>
          <cell r="C425" t="str">
            <v>UPVC FITTING</v>
          </cell>
          <cell r="D425">
            <v>18</v>
          </cell>
        </row>
        <row r="426">
          <cell r="A426" t="str">
            <v>U603</v>
          </cell>
          <cell r="B426" t="str">
            <v>1" END CAP</v>
          </cell>
          <cell r="C426" t="str">
            <v>UPVC FITTING</v>
          </cell>
          <cell r="D426">
            <v>29.8</v>
          </cell>
        </row>
        <row r="427">
          <cell r="A427" t="str">
            <v>U604</v>
          </cell>
          <cell r="B427" t="str">
            <v>1-1/4" END CAP</v>
          </cell>
          <cell r="C427" t="str">
            <v>UPVC FITTING</v>
          </cell>
          <cell r="D427">
            <v>47.8</v>
          </cell>
        </row>
        <row r="428">
          <cell r="A428" t="str">
            <v>U605</v>
          </cell>
          <cell r="B428" t="str">
            <v>1-1/2" END CAP</v>
          </cell>
          <cell r="C428" t="str">
            <v>UPVC FITTING</v>
          </cell>
          <cell r="D428">
            <v>60.1</v>
          </cell>
        </row>
        <row r="429">
          <cell r="A429" t="str">
            <v>U606</v>
          </cell>
          <cell r="B429" t="str">
            <v>2" END CAP</v>
          </cell>
          <cell r="C429" t="str">
            <v>UPVC FITTING</v>
          </cell>
          <cell r="D429">
            <v>94</v>
          </cell>
        </row>
        <row r="430">
          <cell r="A430" t="str">
            <v>U607</v>
          </cell>
          <cell r="B430" t="str">
            <v>2-1/2" END CAP</v>
          </cell>
          <cell r="C430" t="str">
            <v>UPVC FITTING</v>
          </cell>
          <cell r="D430">
            <v>189.8</v>
          </cell>
        </row>
        <row r="431">
          <cell r="A431" t="str">
            <v>U608</v>
          </cell>
          <cell r="B431" t="str">
            <v>3" END CAP</v>
          </cell>
          <cell r="C431" t="str">
            <v>UPVC FITTING</v>
          </cell>
          <cell r="D431">
            <v>277</v>
          </cell>
        </row>
        <row r="432">
          <cell r="A432" t="str">
            <v>U609</v>
          </cell>
          <cell r="B432" t="str">
            <v>4" END CAP</v>
          </cell>
          <cell r="C432" t="str">
            <v>UPVC FITTING</v>
          </cell>
          <cell r="D432">
            <v>476</v>
          </cell>
        </row>
        <row r="433">
          <cell r="A433" t="str">
            <v>U821</v>
          </cell>
          <cell r="B433" t="str">
            <v>3/4"x1/2" RED. BUSH</v>
          </cell>
          <cell r="C433" t="str">
            <v>UPVC FITTING</v>
          </cell>
          <cell r="D433">
            <v>9.8000000000000007</v>
          </cell>
        </row>
        <row r="434">
          <cell r="A434" t="str">
            <v>U831</v>
          </cell>
          <cell r="B434" t="str">
            <v>1"x1/2" RED. BUSH</v>
          </cell>
          <cell r="C434" t="str">
            <v>UPVC FITTING</v>
          </cell>
          <cell r="D434">
            <v>23.7</v>
          </cell>
        </row>
        <row r="435">
          <cell r="A435" t="str">
            <v>U832</v>
          </cell>
          <cell r="B435" t="str">
            <v>1"X3/4" RED. BUSH</v>
          </cell>
          <cell r="C435" t="str">
            <v>UPVC FITTING</v>
          </cell>
          <cell r="D435">
            <v>16.25</v>
          </cell>
        </row>
        <row r="436">
          <cell r="A436" t="str">
            <v>U841</v>
          </cell>
          <cell r="B436" t="str">
            <v>1-1/4"x1/2" RED. BUSH</v>
          </cell>
          <cell r="C436" t="str">
            <v>UPVC FITTING</v>
          </cell>
          <cell r="D436">
            <v>42.6</v>
          </cell>
        </row>
        <row r="437">
          <cell r="A437" t="str">
            <v>U842</v>
          </cell>
          <cell r="B437" t="str">
            <v>1-1/4"X3/4" RED. BUSH</v>
          </cell>
          <cell r="C437" t="str">
            <v>UPVC FITTING</v>
          </cell>
          <cell r="D437">
            <v>40.200000000000003</v>
          </cell>
        </row>
        <row r="438">
          <cell r="A438" t="str">
            <v>U843</v>
          </cell>
          <cell r="B438" t="str">
            <v>1-1/4"x1" RED. BUSH</v>
          </cell>
          <cell r="C438" t="str">
            <v>UPVC FITTING</v>
          </cell>
          <cell r="D438">
            <v>28</v>
          </cell>
        </row>
        <row r="439">
          <cell r="A439" t="str">
            <v>U851</v>
          </cell>
          <cell r="B439" t="str">
            <v>1-1/2"x1/2" RED. BUSH</v>
          </cell>
          <cell r="C439" t="str">
            <v>UPVC FITTING</v>
          </cell>
          <cell r="D439">
            <v>56.45</v>
          </cell>
        </row>
        <row r="440">
          <cell r="A440" t="str">
            <v>U852</v>
          </cell>
          <cell r="B440" t="str">
            <v>1-1/2"x3/4" RED. BUSH</v>
          </cell>
          <cell r="C440" t="str">
            <v>UPVC FITTING</v>
          </cell>
          <cell r="D440">
            <v>52.2</v>
          </cell>
        </row>
        <row r="441">
          <cell r="A441" t="str">
            <v>U853</v>
          </cell>
          <cell r="B441" t="str">
            <v>1-1/2"x1" RED. BUSH</v>
          </cell>
          <cell r="C441" t="str">
            <v>UPVC FITTING</v>
          </cell>
          <cell r="D441">
            <v>50.9</v>
          </cell>
        </row>
        <row r="442">
          <cell r="A442" t="str">
            <v>U854</v>
          </cell>
          <cell r="B442" t="str">
            <v>1-1/2"x1-1/4" RED. BUSH</v>
          </cell>
          <cell r="C442" t="str">
            <v>UPVC FITTING</v>
          </cell>
          <cell r="D442">
            <v>30.8</v>
          </cell>
        </row>
        <row r="443">
          <cell r="A443" t="str">
            <v>U861</v>
          </cell>
          <cell r="B443" t="str">
            <v>2"x1/2" RED. BUSH</v>
          </cell>
          <cell r="C443" t="str">
            <v>UPVC FITTING</v>
          </cell>
          <cell r="D443">
            <v>93</v>
          </cell>
        </row>
        <row r="444">
          <cell r="A444" t="str">
            <v>U862</v>
          </cell>
          <cell r="B444" t="str">
            <v>2"x3/4" RED. BUSH</v>
          </cell>
          <cell r="C444" t="str">
            <v>UPVC FITTING</v>
          </cell>
          <cell r="D444">
            <v>90.5</v>
          </cell>
        </row>
        <row r="445">
          <cell r="A445" t="str">
            <v>U863</v>
          </cell>
          <cell r="B445" t="str">
            <v>2"x1"  RED. BUSH</v>
          </cell>
          <cell r="C445" t="str">
            <v>UPVC FITTING</v>
          </cell>
          <cell r="D445">
            <v>104.675</v>
          </cell>
        </row>
        <row r="446">
          <cell r="A446" t="str">
            <v>U864</v>
          </cell>
          <cell r="B446" t="str">
            <v>2"x1-1/4"  RED. BUSH</v>
          </cell>
          <cell r="C446" t="str">
            <v>UPVC FITTING</v>
          </cell>
          <cell r="D446">
            <v>87.6</v>
          </cell>
        </row>
        <row r="447">
          <cell r="A447" t="str">
            <v>U865</v>
          </cell>
          <cell r="B447" t="str">
            <v>2"x1-1/2" RED. BUSH</v>
          </cell>
          <cell r="C447" t="str">
            <v>UPVC FITTING</v>
          </cell>
          <cell r="D447">
            <v>71</v>
          </cell>
        </row>
        <row r="448">
          <cell r="A448" t="str">
            <v>U875</v>
          </cell>
          <cell r="B448" t="str">
            <v>2-1/2"X1-1/2" RED. BUSH</v>
          </cell>
          <cell r="C448" t="str">
            <v>UPVC FITTING</v>
          </cell>
          <cell r="D448">
            <v>159.19999999999999</v>
          </cell>
        </row>
        <row r="449">
          <cell r="A449" t="str">
            <v>U876</v>
          </cell>
          <cell r="B449" t="str">
            <v>2-1/2"x2" RED. BUSH</v>
          </cell>
          <cell r="C449" t="str">
            <v>UPVC FITTING</v>
          </cell>
          <cell r="D449">
            <v>110.3</v>
          </cell>
        </row>
        <row r="450">
          <cell r="A450" t="str">
            <v>U886</v>
          </cell>
          <cell r="B450" t="str">
            <v>3"X2" RED. BUSH</v>
          </cell>
          <cell r="C450" t="str">
            <v>UPVC FITTING</v>
          </cell>
          <cell r="D450">
            <v>292.5</v>
          </cell>
        </row>
        <row r="451">
          <cell r="A451" t="str">
            <v>U887</v>
          </cell>
          <cell r="B451" t="str">
            <v>3"X2-1/2" RED. BUSH</v>
          </cell>
          <cell r="C451" t="str">
            <v>UPVC FITTING</v>
          </cell>
          <cell r="D451">
            <v>228</v>
          </cell>
        </row>
        <row r="452">
          <cell r="A452" t="str">
            <v>U896</v>
          </cell>
          <cell r="B452" t="str">
            <v>4"x2" RED. BUSH</v>
          </cell>
          <cell r="C452" t="str">
            <v>UPVC FITTING</v>
          </cell>
          <cell r="D452">
            <v>435.6</v>
          </cell>
        </row>
        <row r="453">
          <cell r="A453" t="str">
            <v>U897</v>
          </cell>
          <cell r="B453" t="str">
            <v>4"x3" RED. BUSH</v>
          </cell>
          <cell r="C453" t="str">
            <v>UPVC FITTING</v>
          </cell>
          <cell r="D453">
            <v>399.1</v>
          </cell>
        </row>
        <row r="454">
          <cell r="A454" t="str">
            <v>U898</v>
          </cell>
          <cell r="B454" t="str">
            <v>4"X2-1/2" RED. BUSH</v>
          </cell>
          <cell r="C454" t="str">
            <v>UPVC FITTING</v>
          </cell>
          <cell r="D454">
            <v>546</v>
          </cell>
        </row>
        <row r="455">
          <cell r="A455" t="str">
            <v>U921</v>
          </cell>
          <cell r="B455" t="str">
            <v>3/4"x1/2" RED. COUPLING</v>
          </cell>
          <cell r="C455" t="str">
            <v>UPVC FITTING</v>
          </cell>
          <cell r="D455">
            <v>27.024999999999999</v>
          </cell>
        </row>
        <row r="456">
          <cell r="A456" t="str">
            <v>U931</v>
          </cell>
          <cell r="B456" t="str">
            <v>1"x1/2" RED. COUPLING</v>
          </cell>
          <cell r="C456" t="str">
            <v>UPVC FITTING</v>
          </cell>
          <cell r="D456">
            <v>43.25</v>
          </cell>
        </row>
        <row r="457">
          <cell r="A457" t="str">
            <v>U932</v>
          </cell>
          <cell r="B457" t="str">
            <v>1"X3/4" RED. COUPLING</v>
          </cell>
          <cell r="C457" t="str">
            <v>UPVC FITTING</v>
          </cell>
          <cell r="D457">
            <v>44.6</v>
          </cell>
        </row>
        <row r="458">
          <cell r="A458" t="str">
            <v>U941</v>
          </cell>
          <cell r="B458" t="str">
            <v>1-1/4"x1/2" RED. COUPLING</v>
          </cell>
          <cell r="C458" t="str">
            <v>UPVC FITTING</v>
          </cell>
          <cell r="D458">
            <v>54.25</v>
          </cell>
        </row>
        <row r="459">
          <cell r="A459" t="str">
            <v>U942</v>
          </cell>
          <cell r="B459" t="str">
            <v>1-1/4"x3/4" RED. COUPLING</v>
          </cell>
          <cell r="C459" t="str">
            <v>UPVC FITTING</v>
          </cell>
          <cell r="D459">
            <v>56</v>
          </cell>
        </row>
        <row r="460">
          <cell r="A460" t="str">
            <v>U943</v>
          </cell>
          <cell r="B460" t="str">
            <v>1-1/4"X1" RED. COUPLING</v>
          </cell>
          <cell r="C460" t="str">
            <v>UPVC FITTING</v>
          </cell>
          <cell r="D460">
            <v>63</v>
          </cell>
        </row>
        <row r="461">
          <cell r="A461" t="str">
            <v>U952</v>
          </cell>
          <cell r="B461" t="str">
            <v>1-1/2"x3/4" RED. COUPLING</v>
          </cell>
          <cell r="C461" t="str">
            <v>UPVC FITTING</v>
          </cell>
          <cell r="D461">
            <v>75.599999999999994</v>
          </cell>
        </row>
        <row r="462">
          <cell r="A462" t="str">
            <v>U953</v>
          </cell>
          <cell r="B462" t="str">
            <v>1-1/2"x1" RED. COUPLING</v>
          </cell>
          <cell r="C462" t="str">
            <v>UPVC FITTING</v>
          </cell>
          <cell r="D462">
            <v>82.25</v>
          </cell>
        </row>
        <row r="463">
          <cell r="A463" t="str">
            <v>UH-80</v>
          </cell>
          <cell r="B463" t="str">
            <v>3/4" UPVC  VIVA CONCEALED VALVE Q/T</v>
          </cell>
          <cell r="C463" t="str">
            <v>UPVC FITTING</v>
          </cell>
          <cell r="D463">
            <v>73.8</v>
          </cell>
        </row>
        <row r="464">
          <cell r="A464" t="str">
            <v>UH-79</v>
          </cell>
          <cell r="B464" t="str">
            <v>3/4" UPVC  SPA CONCEALED VALVE Q/T</v>
          </cell>
          <cell r="C464" t="str">
            <v>UPVC FITTING</v>
          </cell>
          <cell r="D464">
            <v>73.8</v>
          </cell>
        </row>
        <row r="465">
          <cell r="A465" t="str">
            <v>UH-78</v>
          </cell>
          <cell r="B465" t="str">
            <v>3/4" UPVC  URBONA CONCEALED VALVE Q/T</v>
          </cell>
          <cell r="C465" t="str">
            <v>UPVC FITTING</v>
          </cell>
          <cell r="D465">
            <v>73.8</v>
          </cell>
        </row>
        <row r="466">
          <cell r="A466" t="str">
            <v>UH76</v>
          </cell>
          <cell r="B466" t="str">
            <v>3/4" UPVC  MACASA CONCEALED VALVE Q/T</v>
          </cell>
          <cell r="C466" t="str">
            <v>UPVC FITTING</v>
          </cell>
          <cell r="D466">
            <v>73.8</v>
          </cell>
        </row>
        <row r="467">
          <cell r="A467" t="str">
            <v>UH-74</v>
          </cell>
          <cell r="B467" t="str">
            <v>3/4" UPVC  GREACIA CONCEALED VALVE Q/T</v>
          </cell>
          <cell r="C467" t="str">
            <v>UPVC FITTING</v>
          </cell>
          <cell r="D467">
            <v>73.8</v>
          </cell>
        </row>
        <row r="468">
          <cell r="A468" t="str">
            <v>UH72</v>
          </cell>
          <cell r="B468" t="str">
            <v>3/4" UPVC  TRIANGULAR CONCEALED VALVE Q/T</v>
          </cell>
          <cell r="C468" t="str">
            <v>UPVC FITTING</v>
          </cell>
          <cell r="D468">
            <v>73.8</v>
          </cell>
        </row>
        <row r="469">
          <cell r="A469" t="str">
            <v>UH80-S</v>
          </cell>
          <cell r="B469" t="str">
            <v>3/4" UPVC  VIVA CONCEALED VALVE Q/T</v>
          </cell>
          <cell r="C469" t="str">
            <v>UPVC FITTING</v>
          </cell>
          <cell r="D469">
            <v>73.8</v>
          </cell>
        </row>
        <row r="470">
          <cell r="A470" t="str">
            <v>UH79-S</v>
          </cell>
          <cell r="B470" t="str">
            <v>3/4" UPVC  SPA CONCEALED VALVE Q/T</v>
          </cell>
          <cell r="C470" t="str">
            <v>UPVC FITTING</v>
          </cell>
          <cell r="D470">
            <v>73.8</v>
          </cell>
        </row>
        <row r="471">
          <cell r="A471" t="str">
            <v>UH78-S</v>
          </cell>
          <cell r="B471" t="str">
            <v>3/4" UPVC  URBONA CONCEALED VALVE Q/T</v>
          </cell>
          <cell r="C471" t="str">
            <v>UPVC FITTING</v>
          </cell>
          <cell r="D471">
            <v>73.8</v>
          </cell>
        </row>
        <row r="472">
          <cell r="A472" t="str">
            <v>UH76-S</v>
          </cell>
          <cell r="B472" t="str">
            <v>3/4" UPVC  MACASA CONCEALED VALVE Q/T</v>
          </cell>
          <cell r="C472" t="str">
            <v>UPVC FITTING</v>
          </cell>
          <cell r="D472">
            <v>73.8</v>
          </cell>
        </row>
        <row r="473">
          <cell r="A473" t="str">
            <v>UH74-S</v>
          </cell>
          <cell r="B473" t="str">
            <v>3/4" UPVC  GREACIA CONCEALED VALVE Q/T</v>
          </cell>
          <cell r="C473" t="str">
            <v>UPVC FITTING</v>
          </cell>
          <cell r="D473">
            <v>73.8</v>
          </cell>
        </row>
        <row r="474">
          <cell r="A474" t="str">
            <v>UH72-S</v>
          </cell>
          <cell r="B474" t="str">
            <v>3/4" UPVC  TRIANGULAR CONCEALED VALVE Q/T</v>
          </cell>
          <cell r="C474" t="str">
            <v>UPVC FITTING</v>
          </cell>
          <cell r="D474">
            <v>73.8</v>
          </cell>
        </row>
        <row r="475">
          <cell r="A475" t="str">
            <v>UH90</v>
          </cell>
          <cell r="B475" t="str">
            <v>1/2" UPVC  VIVA CONCEALED VALVE Q/T</v>
          </cell>
          <cell r="C475" t="str">
            <v>UPVC FITTING</v>
          </cell>
          <cell r="D475">
            <v>73.8</v>
          </cell>
        </row>
        <row r="476">
          <cell r="A476" t="str">
            <v>UH89</v>
          </cell>
          <cell r="B476" t="str">
            <v>1/2" UPVC  SPA CONCEALED VALVE Q/T</v>
          </cell>
          <cell r="C476" t="str">
            <v>UPVC FITTING</v>
          </cell>
          <cell r="D476">
            <v>73.8</v>
          </cell>
        </row>
        <row r="477">
          <cell r="A477" t="str">
            <v>UH88</v>
          </cell>
          <cell r="B477" t="str">
            <v>1/2" UPVC  URBONA CONCEALED VALVE Q/T</v>
          </cell>
          <cell r="C477" t="str">
            <v>UPVC FITTING</v>
          </cell>
          <cell r="D477">
            <v>73.8</v>
          </cell>
        </row>
        <row r="478">
          <cell r="A478" t="str">
            <v>UH86</v>
          </cell>
          <cell r="B478" t="str">
            <v>1/2" UPVC  MACASA CONCEALED VALVE Q/T</v>
          </cell>
          <cell r="C478" t="str">
            <v>UPVC FITTING</v>
          </cell>
          <cell r="D478">
            <v>73.8</v>
          </cell>
        </row>
        <row r="479">
          <cell r="A479" t="str">
            <v>UH84</v>
          </cell>
          <cell r="B479" t="str">
            <v>1/2" UPVC  GREACIA CONCEALED VALVE Q/T</v>
          </cell>
          <cell r="C479" t="str">
            <v>UPVC FITTING</v>
          </cell>
          <cell r="D479">
            <v>73.8</v>
          </cell>
        </row>
        <row r="480">
          <cell r="A480" t="str">
            <v>UH82</v>
          </cell>
          <cell r="B480" t="str">
            <v>1/2" UPVC TRIANGULAR CONCEALED VALVE Q/T</v>
          </cell>
          <cell r="C480" t="str">
            <v>UPVC FITTING</v>
          </cell>
          <cell r="D480">
            <v>73.8</v>
          </cell>
        </row>
        <row r="481">
          <cell r="A481" t="str">
            <v>UH90-S</v>
          </cell>
          <cell r="B481" t="str">
            <v>1/2" UPVC  VIVA CONCEALED VALVE Q/T</v>
          </cell>
          <cell r="C481" t="str">
            <v>UPVC FITTING</v>
          </cell>
          <cell r="D481">
            <v>73.8</v>
          </cell>
        </row>
        <row r="482">
          <cell r="A482" t="str">
            <v>UH89-S</v>
          </cell>
          <cell r="B482" t="str">
            <v>1/2" UPVC  SPA CONCEALED VALVE Q/T</v>
          </cell>
          <cell r="C482" t="str">
            <v>UPVC FITTING</v>
          </cell>
          <cell r="D482">
            <v>73.8</v>
          </cell>
        </row>
        <row r="483">
          <cell r="A483" t="str">
            <v>UH88-S</v>
          </cell>
          <cell r="B483" t="str">
            <v>1/2" UPVC  URBONA CONCEALED VALVE Q/T</v>
          </cell>
          <cell r="C483" t="str">
            <v>UPVC FITTING</v>
          </cell>
          <cell r="D483">
            <v>73.8</v>
          </cell>
        </row>
        <row r="484">
          <cell r="A484" t="str">
            <v>UH86-S</v>
          </cell>
          <cell r="B484" t="str">
            <v>1/2" UPVC  MACASA CONCEALED VALVE Q/T</v>
          </cell>
          <cell r="C484" t="str">
            <v>UPVC FITTING</v>
          </cell>
          <cell r="D484">
            <v>73.8</v>
          </cell>
        </row>
        <row r="485">
          <cell r="A485" t="str">
            <v>UH84-S</v>
          </cell>
          <cell r="B485" t="str">
            <v>1/2" UPVC  GREACIA CONCEALED VALVE Q/T</v>
          </cell>
          <cell r="C485" t="str">
            <v>UPVC FITTING</v>
          </cell>
          <cell r="D485">
            <v>73.8</v>
          </cell>
        </row>
        <row r="486">
          <cell r="A486" t="str">
            <v>UH82-S</v>
          </cell>
          <cell r="B486" t="str">
            <v>1/2" UPVC TRIANGULAR CONCEALED VALVE Q/T</v>
          </cell>
          <cell r="C486" t="str">
            <v>UPVC FITTING</v>
          </cell>
          <cell r="D486">
            <v>73.8</v>
          </cell>
        </row>
        <row r="487">
          <cell r="A487" t="str">
            <v>UF12</v>
          </cell>
          <cell r="B487" t="str">
            <v>2-1/2" UPVC SOCKET FLANGE</v>
          </cell>
          <cell r="C487" t="str">
            <v>UPVC FITTING</v>
          </cell>
          <cell r="D487">
            <v>406</v>
          </cell>
        </row>
        <row r="488">
          <cell r="A488" t="str">
            <v>UF13</v>
          </cell>
          <cell r="B488" t="str">
            <v>3" UPVC SOCKET FLANGE</v>
          </cell>
          <cell r="C488" t="str">
            <v>UPVC FITTING</v>
          </cell>
          <cell r="D488">
            <v>655</v>
          </cell>
        </row>
        <row r="489">
          <cell r="A489" t="str">
            <v>UF14</v>
          </cell>
          <cell r="B489" t="str">
            <v>4" UPVC SOCKET FLANGE</v>
          </cell>
          <cell r="C489" t="str">
            <v>UPVC FITTING</v>
          </cell>
          <cell r="D489">
            <v>1185</v>
          </cell>
        </row>
        <row r="490">
          <cell r="A490">
            <v>5710</v>
          </cell>
          <cell r="B490" t="str">
            <v>SWR  FITTING BEND 45° (75 MM)</v>
          </cell>
          <cell r="C490" t="str">
            <v>SWR FITTING</v>
          </cell>
          <cell r="D490">
            <v>165</v>
          </cell>
        </row>
        <row r="491">
          <cell r="A491">
            <v>5910</v>
          </cell>
          <cell r="B491" t="str">
            <v>SWR  FITTING BEND 45° (90 MM)</v>
          </cell>
          <cell r="C491" t="str">
            <v>SWR FITTING</v>
          </cell>
          <cell r="D491">
            <v>225</v>
          </cell>
        </row>
        <row r="492">
          <cell r="A492">
            <v>5110</v>
          </cell>
          <cell r="B492" t="str">
            <v>SWR  FITTING BEND 45° (110 MM)</v>
          </cell>
          <cell r="C492" t="str">
            <v>SWR FITTING</v>
          </cell>
          <cell r="D492">
            <v>322</v>
          </cell>
        </row>
        <row r="493">
          <cell r="A493">
            <v>5610</v>
          </cell>
          <cell r="B493" t="str">
            <v>SWR  FITTING BEND 45° (160 MM)</v>
          </cell>
          <cell r="C493" t="str">
            <v>SWR FITTING</v>
          </cell>
          <cell r="D493">
            <v>785</v>
          </cell>
        </row>
        <row r="494">
          <cell r="A494">
            <v>5711</v>
          </cell>
          <cell r="B494" t="str">
            <v>SWR  FITTING BEND 87.5° (75 MM)</v>
          </cell>
          <cell r="C494" t="str">
            <v>SWR FITTING</v>
          </cell>
          <cell r="D494">
            <v>192.5</v>
          </cell>
        </row>
        <row r="495">
          <cell r="A495">
            <v>5911</v>
          </cell>
          <cell r="B495" t="str">
            <v>SWR  FITTING BEND 87.5° (90 MM)</v>
          </cell>
          <cell r="C495" t="str">
            <v>SWR FITTING</v>
          </cell>
          <cell r="D495">
            <v>266</v>
          </cell>
        </row>
        <row r="496">
          <cell r="A496">
            <v>5111</v>
          </cell>
          <cell r="B496" t="str">
            <v>SWR  FITTING BEND 87.5° (110 MM)</v>
          </cell>
          <cell r="C496" t="str">
            <v>SWR FITTING</v>
          </cell>
          <cell r="D496">
            <v>420.6</v>
          </cell>
        </row>
        <row r="497">
          <cell r="A497">
            <v>5611</v>
          </cell>
          <cell r="B497" t="str">
            <v>SWR  FITTING BEND 87.5° (160 MM)</v>
          </cell>
          <cell r="C497" t="str">
            <v>SWR FITTING</v>
          </cell>
          <cell r="D497">
            <v>963</v>
          </cell>
        </row>
        <row r="498">
          <cell r="A498">
            <v>5712</v>
          </cell>
          <cell r="B498" t="str">
            <v>SWR  FITTING BEND 87.5° (75 MM) W/D</v>
          </cell>
          <cell r="C498" t="str">
            <v>SWR FITTING</v>
          </cell>
          <cell r="D498">
            <v>202</v>
          </cell>
        </row>
        <row r="499">
          <cell r="A499">
            <v>5912</v>
          </cell>
          <cell r="B499" t="str">
            <v>SWR  FITTING BEND 87.5° (90 MM) W/D</v>
          </cell>
          <cell r="C499" t="str">
            <v>SWR FITTING</v>
          </cell>
          <cell r="D499">
            <v>271</v>
          </cell>
        </row>
        <row r="500">
          <cell r="A500">
            <v>5112</v>
          </cell>
          <cell r="B500" t="str">
            <v>SWR  FITTING BEND 87.5° (110 MM) WD</v>
          </cell>
          <cell r="C500" t="str">
            <v>SWR FITTING</v>
          </cell>
          <cell r="D500">
            <v>408.5</v>
          </cell>
        </row>
        <row r="501">
          <cell r="A501">
            <v>5612</v>
          </cell>
          <cell r="B501" t="str">
            <v>SWR  FITTING BEND 87.5° (160 MM) WD</v>
          </cell>
          <cell r="C501" t="str">
            <v>SWR FITTING</v>
          </cell>
          <cell r="D501">
            <v>984</v>
          </cell>
        </row>
        <row r="502">
          <cell r="A502">
            <v>5714</v>
          </cell>
          <cell r="B502" t="str">
            <v>SWR  FITTING BEND 87.5° (75 MM) W LD</v>
          </cell>
          <cell r="C502" t="str">
            <v>SWR FITTING</v>
          </cell>
          <cell r="D502">
            <v>194</v>
          </cell>
        </row>
        <row r="503">
          <cell r="A503">
            <v>5114</v>
          </cell>
          <cell r="B503" t="str">
            <v>SWR  FITTING BEND 87.5° (110 MM) W LD</v>
          </cell>
          <cell r="C503" t="str">
            <v>SWR FITTING</v>
          </cell>
          <cell r="D503">
            <v>401.8</v>
          </cell>
        </row>
        <row r="504">
          <cell r="A504">
            <v>5715</v>
          </cell>
          <cell r="B504" t="str">
            <v>SWR  FITTING BEND 87.5° (75 MM) W RD</v>
          </cell>
          <cell r="C504" t="str">
            <v>SWR FITTING</v>
          </cell>
          <cell r="D504">
            <v>194</v>
          </cell>
        </row>
        <row r="505">
          <cell r="A505">
            <v>5115</v>
          </cell>
          <cell r="B505" t="str">
            <v>SWR  FITTING BEND 87.5° (110 MM) WRD</v>
          </cell>
          <cell r="C505" t="str">
            <v>SWR FITTING</v>
          </cell>
          <cell r="D505">
            <v>401.8</v>
          </cell>
        </row>
        <row r="506">
          <cell r="A506">
            <v>5721</v>
          </cell>
          <cell r="B506" t="str">
            <v>SWR  FITTING COUPLER (75 MM)</v>
          </cell>
          <cell r="C506" t="str">
            <v>SWR FITTING</v>
          </cell>
          <cell r="D506">
            <v>135</v>
          </cell>
        </row>
        <row r="507">
          <cell r="A507">
            <v>5921</v>
          </cell>
          <cell r="B507" t="str">
            <v>SWR  FITTING COUPLER (90 MM)</v>
          </cell>
          <cell r="C507" t="str">
            <v>SWR FITTING</v>
          </cell>
          <cell r="D507">
            <v>194</v>
          </cell>
        </row>
        <row r="508">
          <cell r="A508">
            <v>5121</v>
          </cell>
          <cell r="B508" t="str">
            <v>SWR  FITTING COUPLER (110 MM)</v>
          </cell>
          <cell r="C508" t="str">
            <v>SWR FITTING</v>
          </cell>
          <cell r="D508">
            <v>281</v>
          </cell>
        </row>
        <row r="509">
          <cell r="A509">
            <v>5621</v>
          </cell>
          <cell r="B509" t="str">
            <v>SWR  FITTING COUPLER (160 MM)</v>
          </cell>
          <cell r="C509" t="str">
            <v>SWR FITTING</v>
          </cell>
          <cell r="D509">
            <v>617</v>
          </cell>
        </row>
        <row r="510">
          <cell r="A510">
            <v>5722</v>
          </cell>
          <cell r="B510" t="str">
            <v>SWR  FITTING  REPAIR COUPLER (75 MM)</v>
          </cell>
          <cell r="C510" t="str">
            <v>SWR FITTING</v>
          </cell>
          <cell r="D510">
            <v>136</v>
          </cell>
        </row>
        <row r="511">
          <cell r="A511">
            <v>5922</v>
          </cell>
          <cell r="B511" t="str">
            <v>SWR  FITTING  REPAIR COUPLER (90 MM)</v>
          </cell>
          <cell r="C511" t="str">
            <v>SWR FITTING</v>
          </cell>
          <cell r="D511">
            <v>189</v>
          </cell>
        </row>
        <row r="512">
          <cell r="A512">
            <v>5122</v>
          </cell>
          <cell r="B512" t="str">
            <v>SWR  FITTING  REPAIR COUPLER (110 MM)</v>
          </cell>
          <cell r="C512" t="str">
            <v>SWR FITTING</v>
          </cell>
          <cell r="D512">
            <v>278</v>
          </cell>
        </row>
        <row r="513">
          <cell r="A513">
            <v>5622</v>
          </cell>
          <cell r="B513" t="str">
            <v>SWR  FITTING  REPAIR COUPLER (160 MM)</v>
          </cell>
          <cell r="C513" t="str">
            <v>SWR FITTING</v>
          </cell>
          <cell r="D513">
            <v>600.5</v>
          </cell>
        </row>
        <row r="514">
          <cell r="A514">
            <v>5731</v>
          </cell>
          <cell r="B514" t="str">
            <v>SWR  FITTING CROSS TEE (75 MM)</v>
          </cell>
          <cell r="C514" t="str">
            <v>SWR FITTING</v>
          </cell>
          <cell r="D514">
            <v>327.2</v>
          </cell>
        </row>
        <row r="515">
          <cell r="A515">
            <v>5131</v>
          </cell>
          <cell r="B515" t="str">
            <v>SWR  FITTING CROSS TEE  (110 MM)</v>
          </cell>
          <cell r="C515" t="str">
            <v>SWR FITTING</v>
          </cell>
          <cell r="D515">
            <v>647.79999999999995</v>
          </cell>
        </row>
        <row r="516">
          <cell r="A516">
            <v>5732</v>
          </cell>
          <cell r="B516" t="str">
            <v>SWR  FITTING CROSS T WD (75 MM)</v>
          </cell>
          <cell r="C516" t="str">
            <v>SWR FITTING</v>
          </cell>
          <cell r="D516">
            <v>327.39999999999998</v>
          </cell>
        </row>
        <row r="517">
          <cell r="A517">
            <v>5132</v>
          </cell>
          <cell r="B517" t="str">
            <v>SWR  FITTING CROSS T WD  (110 MM)</v>
          </cell>
          <cell r="C517" t="str">
            <v>SWR FITTING</v>
          </cell>
          <cell r="D517">
            <v>656.5</v>
          </cell>
        </row>
        <row r="518">
          <cell r="A518">
            <v>5733</v>
          </cell>
          <cell r="B518" t="str">
            <v>SWR  FITTING SINGLE TEE (75 MM)</v>
          </cell>
          <cell r="C518" t="str">
            <v>SWR FITTING</v>
          </cell>
          <cell r="D518">
            <v>267</v>
          </cell>
        </row>
        <row r="519">
          <cell r="A519">
            <v>5933</v>
          </cell>
          <cell r="B519" t="str">
            <v>SWR  FITTING SINGLE TEE (90 MM)</v>
          </cell>
          <cell r="C519" t="str">
            <v>SWR FITTING</v>
          </cell>
          <cell r="D519">
            <v>368</v>
          </cell>
        </row>
        <row r="520">
          <cell r="A520">
            <v>5133</v>
          </cell>
          <cell r="B520" t="str">
            <v>SWR  FITTING SINGLE TEE (110 MM)</v>
          </cell>
          <cell r="C520" t="str">
            <v>SWR FITTING</v>
          </cell>
          <cell r="D520">
            <v>532</v>
          </cell>
        </row>
        <row r="521">
          <cell r="A521">
            <v>5633</v>
          </cell>
          <cell r="B521" t="str">
            <v>SWR  FITTING SINGLE TEE (160 MM)</v>
          </cell>
          <cell r="C521" t="str">
            <v>SWR FITTING</v>
          </cell>
          <cell r="D521">
            <v>1285</v>
          </cell>
        </row>
        <row r="522">
          <cell r="A522">
            <v>5734</v>
          </cell>
          <cell r="B522" t="str">
            <v>SWR  FITTING SINGLE T WD (75 MM)</v>
          </cell>
          <cell r="C522" t="str">
            <v>SWR FITTING</v>
          </cell>
          <cell r="D522">
            <v>281</v>
          </cell>
        </row>
        <row r="523">
          <cell r="A523">
            <v>5934</v>
          </cell>
          <cell r="B523" t="str">
            <v>SWR  FITTING SINGLE T WD (90 MM)</v>
          </cell>
          <cell r="C523" t="str">
            <v>SWR FITTING</v>
          </cell>
          <cell r="D523">
            <v>409</v>
          </cell>
        </row>
        <row r="524">
          <cell r="A524">
            <v>5134</v>
          </cell>
          <cell r="B524" t="str">
            <v>SWR  FITTING SINGLE T WD  (110 MM)</v>
          </cell>
          <cell r="C524" t="str">
            <v>SWR FITTING</v>
          </cell>
          <cell r="D524">
            <v>543</v>
          </cell>
        </row>
        <row r="525">
          <cell r="A525">
            <v>5634</v>
          </cell>
          <cell r="B525" t="str">
            <v>SWR  FITTING SINGLE T WD  (160 MM)</v>
          </cell>
          <cell r="C525" t="str">
            <v>SWR FITTING</v>
          </cell>
          <cell r="D525">
            <v>1330</v>
          </cell>
        </row>
        <row r="526">
          <cell r="A526">
            <v>5741</v>
          </cell>
          <cell r="B526" t="str">
            <v>SWR  FITTING SINGLE Y (75 MM)</v>
          </cell>
          <cell r="C526" t="str">
            <v>SWR FITTING</v>
          </cell>
          <cell r="D526">
            <v>319</v>
          </cell>
        </row>
        <row r="527">
          <cell r="A527">
            <v>5941</v>
          </cell>
          <cell r="B527" t="str">
            <v>SWR  FITTING SINGLE Y (90 MM)</v>
          </cell>
          <cell r="C527" t="str">
            <v>SWR FITTING</v>
          </cell>
          <cell r="D527">
            <v>449</v>
          </cell>
        </row>
        <row r="528">
          <cell r="A528">
            <v>5141</v>
          </cell>
          <cell r="B528" t="str">
            <v>SWR  FITTING SINGLE Y (110 MM)</v>
          </cell>
          <cell r="C528" t="str">
            <v>SWR FITTING</v>
          </cell>
          <cell r="D528">
            <v>669</v>
          </cell>
        </row>
        <row r="529">
          <cell r="A529">
            <v>5641</v>
          </cell>
          <cell r="B529" t="str">
            <v>SWR  FITTING SINGLE Y (160 MM)</v>
          </cell>
          <cell r="C529" t="str">
            <v>SWR FITTING</v>
          </cell>
          <cell r="D529">
            <v>0</v>
          </cell>
        </row>
        <row r="530">
          <cell r="A530">
            <v>5742</v>
          </cell>
          <cell r="B530" t="str">
            <v>SWR  FITTING SINGLE Y WD (75 MM)</v>
          </cell>
          <cell r="C530" t="str">
            <v>SWR FITTING</v>
          </cell>
          <cell r="D530">
            <v>338.2</v>
          </cell>
        </row>
        <row r="531">
          <cell r="A531">
            <v>5942</v>
          </cell>
          <cell r="B531" t="str">
            <v>SWR  FITTING SINGLE Y WD (90 MM)</v>
          </cell>
          <cell r="C531" t="str">
            <v>SWR FITTING</v>
          </cell>
          <cell r="D531">
            <v>476</v>
          </cell>
        </row>
        <row r="532">
          <cell r="A532">
            <v>5142</v>
          </cell>
          <cell r="B532" t="str">
            <v>SWR  FITTING SINGLE Y WD (110 MM)</v>
          </cell>
          <cell r="C532" t="str">
            <v>SWR FITTING</v>
          </cell>
          <cell r="D532">
            <v>721.6</v>
          </cell>
        </row>
        <row r="533">
          <cell r="A533">
            <v>5642</v>
          </cell>
          <cell r="B533" t="str">
            <v>SWR  FITTING SINGLE Y WD (160 MM)</v>
          </cell>
          <cell r="C533" t="str">
            <v>SWR FITTING</v>
          </cell>
          <cell r="D533">
            <v>0</v>
          </cell>
        </row>
        <row r="534">
          <cell r="A534">
            <v>5743</v>
          </cell>
          <cell r="B534" t="str">
            <v>SWR  FITTING REVERS Y 45* (75 MM)</v>
          </cell>
          <cell r="C534" t="str">
            <v>SWR FITTING</v>
          </cell>
          <cell r="D534">
            <v>313.3</v>
          </cell>
        </row>
        <row r="535">
          <cell r="A535">
            <v>5143</v>
          </cell>
          <cell r="B535" t="str">
            <v>SWR  FITTING REVERS Y 45* (110 MM)</v>
          </cell>
          <cell r="C535" t="str">
            <v>SWR FITTING</v>
          </cell>
          <cell r="D535">
            <v>0</v>
          </cell>
        </row>
        <row r="536">
          <cell r="A536">
            <v>5744</v>
          </cell>
          <cell r="B536" t="str">
            <v>SWR  FITTING DOUBLE  Y (75 MM)</v>
          </cell>
          <cell r="C536" t="str">
            <v>SWR FITTING</v>
          </cell>
          <cell r="D536">
            <v>409</v>
          </cell>
        </row>
        <row r="537">
          <cell r="A537">
            <v>5144</v>
          </cell>
          <cell r="B537" t="str">
            <v>SWR  FITTING DOUBLE  Y (110 MM)</v>
          </cell>
          <cell r="C537" t="str">
            <v>SWR FITTING</v>
          </cell>
          <cell r="D537">
            <v>881.5</v>
          </cell>
        </row>
        <row r="538">
          <cell r="A538">
            <v>5745</v>
          </cell>
          <cell r="B538" t="str">
            <v>SWR  FITTING DOUBLE  Y WD (75 MM)</v>
          </cell>
          <cell r="C538" t="str">
            <v>SWR FITTING</v>
          </cell>
          <cell r="D538">
            <v>416</v>
          </cell>
        </row>
        <row r="539">
          <cell r="A539">
            <v>5145</v>
          </cell>
          <cell r="B539" t="str">
            <v>SWR  FITTING DOUBLE  Y WD (110 MM)</v>
          </cell>
          <cell r="C539" t="str">
            <v>SWR FITTING</v>
          </cell>
          <cell r="D539">
            <v>891.5</v>
          </cell>
        </row>
        <row r="540">
          <cell r="A540">
            <v>5746</v>
          </cell>
          <cell r="B540" t="str">
            <v>SWR  FITTING REVERS Y 45* (75 MM) W/D</v>
          </cell>
          <cell r="C540" t="str">
            <v>SWR FITTING</v>
          </cell>
          <cell r="D540">
            <v>316</v>
          </cell>
        </row>
        <row r="541">
          <cell r="A541">
            <v>5146</v>
          </cell>
          <cell r="B541" t="str">
            <v>SWR  FITTING REVERS Y 45* (110 MM) W/D</v>
          </cell>
          <cell r="C541" t="str">
            <v>SWR FITTING</v>
          </cell>
          <cell r="D541">
            <v>0</v>
          </cell>
        </row>
        <row r="542">
          <cell r="A542">
            <v>5951</v>
          </cell>
          <cell r="B542" t="str">
            <v>SWR  FITTING REDUCING TEE (90 X75 MM)</v>
          </cell>
          <cell r="C542" t="str">
            <v>SWR FITTING</v>
          </cell>
          <cell r="D542">
            <v>342</v>
          </cell>
        </row>
        <row r="543">
          <cell r="A543">
            <v>5151</v>
          </cell>
          <cell r="B543" t="str">
            <v>SWR  FITTING REDUCING TEE (110 X75 MM)</v>
          </cell>
          <cell r="C543" t="str">
            <v>SWR FITTING</v>
          </cell>
          <cell r="D543">
            <v>470</v>
          </cell>
        </row>
        <row r="544">
          <cell r="A544">
            <v>5751</v>
          </cell>
          <cell r="B544" t="str">
            <v>SWR  FITTING REDUCING TEE (160 X75 MM)</v>
          </cell>
          <cell r="C544" t="str">
            <v>SWR FITTING</v>
          </cell>
          <cell r="D544">
            <v>1068</v>
          </cell>
        </row>
        <row r="545">
          <cell r="A545">
            <v>5651</v>
          </cell>
          <cell r="B545" t="str">
            <v>SWR  FITTING REDUCING TEE (160 X110 MM)</v>
          </cell>
          <cell r="C545" t="str">
            <v>SWR FITTING</v>
          </cell>
          <cell r="D545">
            <v>1160</v>
          </cell>
        </row>
        <row r="546">
          <cell r="A546">
            <v>5152</v>
          </cell>
          <cell r="B546" t="str">
            <v>SWR  FITTING REDUCING T WD (110 X75 MM)</v>
          </cell>
          <cell r="C546" t="str">
            <v>SWR FITTING</v>
          </cell>
          <cell r="D546">
            <v>508</v>
          </cell>
        </row>
        <row r="547">
          <cell r="A547">
            <v>5952</v>
          </cell>
          <cell r="B547" t="str">
            <v>SWR  FITTING REDUCING T WD (90 X75 MM)</v>
          </cell>
          <cell r="C547" t="str">
            <v>SWR FITTING</v>
          </cell>
          <cell r="D547">
            <v>0</v>
          </cell>
        </row>
        <row r="548">
          <cell r="A548">
            <v>5652</v>
          </cell>
          <cell r="B548" t="str">
            <v>SWR  FITTING REDUCING T WD (160 X110 MM)</v>
          </cell>
          <cell r="C548" t="str">
            <v>SWR FITTING</v>
          </cell>
          <cell r="D548">
            <v>1173</v>
          </cell>
        </row>
        <row r="549">
          <cell r="A549">
            <v>5752</v>
          </cell>
          <cell r="B549" t="str">
            <v>SWR  FITTING REDUCING T WD (160 X75 MM)</v>
          </cell>
          <cell r="C549" t="str">
            <v>SWR FITTING</v>
          </cell>
          <cell r="D549">
            <v>1108</v>
          </cell>
        </row>
        <row r="550">
          <cell r="A550">
            <v>5155</v>
          </cell>
          <cell r="B550" t="str">
            <v>SWR  FITTING REDUCER Y (110X75MM)</v>
          </cell>
          <cell r="C550" t="str">
            <v>SWR FITTING</v>
          </cell>
          <cell r="D550">
            <v>526</v>
          </cell>
        </row>
        <row r="551">
          <cell r="A551">
            <v>5156</v>
          </cell>
          <cell r="B551" t="str">
            <v>SWR  FITTING REDUCER Y WD (110X75MM)</v>
          </cell>
          <cell r="C551" t="str">
            <v>SWR FITTING</v>
          </cell>
          <cell r="D551">
            <v>552</v>
          </cell>
        </row>
        <row r="552">
          <cell r="A552">
            <v>5157</v>
          </cell>
          <cell r="B552" t="str">
            <v>SWR  FITTING REDUCER (110X75MM) COUPLER</v>
          </cell>
          <cell r="C552" t="str">
            <v>SWR FITTING</v>
          </cell>
          <cell r="D552">
            <v>225.3</v>
          </cell>
        </row>
        <row r="553">
          <cell r="A553">
            <v>5957</v>
          </cell>
          <cell r="B553" t="str">
            <v xml:space="preserve">SWR  FITTING REDUCER COUPLER (110X90MM) </v>
          </cell>
          <cell r="C553" t="str">
            <v>SWR FITTING</v>
          </cell>
          <cell r="D553">
            <v>229</v>
          </cell>
        </row>
        <row r="554">
          <cell r="A554">
            <v>5657</v>
          </cell>
          <cell r="B554" t="str">
            <v xml:space="preserve">SWR  FITTING REDUCER COUPLER (160X110MM) </v>
          </cell>
          <cell r="C554" t="str">
            <v>SWR FITTING</v>
          </cell>
          <cell r="D554">
            <v>507</v>
          </cell>
        </row>
        <row r="555">
          <cell r="A555">
            <v>5758</v>
          </cell>
          <cell r="B555" t="str">
            <v>SWR  FITTING CLEANSING PIPE (75 MM)</v>
          </cell>
          <cell r="C555" t="str">
            <v>SWR FITTING</v>
          </cell>
          <cell r="D555">
            <v>221.5</v>
          </cell>
        </row>
        <row r="556">
          <cell r="A556">
            <v>5158</v>
          </cell>
          <cell r="B556" t="str">
            <v>SWR  FITTING CLEANSING PIPE (110 MM)</v>
          </cell>
          <cell r="C556" t="str">
            <v>SWR FITTING</v>
          </cell>
          <cell r="D556">
            <v>455</v>
          </cell>
        </row>
        <row r="557">
          <cell r="A557">
            <v>5761</v>
          </cell>
          <cell r="B557" t="str">
            <v>SWR  FITTING VENT COWL (75 MM)</v>
          </cell>
          <cell r="C557" t="str">
            <v>SWR FITTING</v>
          </cell>
          <cell r="D557">
            <v>38.6</v>
          </cell>
        </row>
        <row r="558">
          <cell r="A558">
            <v>5961</v>
          </cell>
          <cell r="B558" t="str">
            <v>SWR  FITTING VENT COWL (90 MM)</v>
          </cell>
          <cell r="C558" t="str">
            <v>SWR FITTING</v>
          </cell>
          <cell r="D558">
            <v>63</v>
          </cell>
        </row>
        <row r="559">
          <cell r="A559">
            <v>5161</v>
          </cell>
          <cell r="B559" t="str">
            <v>SWR  FITTING VENT COWL (110 MM)</v>
          </cell>
          <cell r="C559" t="str">
            <v>SWR FITTING</v>
          </cell>
          <cell r="D559">
            <v>76.099999999999994</v>
          </cell>
        </row>
        <row r="560">
          <cell r="A560">
            <v>5661</v>
          </cell>
          <cell r="B560" t="str">
            <v>SWR  FITTING VENT COWL (160 MM)</v>
          </cell>
          <cell r="C560" t="str">
            <v>SWR FITTING</v>
          </cell>
          <cell r="D560">
            <v>166</v>
          </cell>
        </row>
        <row r="561">
          <cell r="A561">
            <v>5762</v>
          </cell>
          <cell r="B561" t="str">
            <v>SWR  FITTING PIPE CLIP (75 MM)</v>
          </cell>
          <cell r="C561" t="str">
            <v>SWR FITTING</v>
          </cell>
          <cell r="D561">
            <v>42.3</v>
          </cell>
        </row>
        <row r="562">
          <cell r="A562">
            <v>5962</v>
          </cell>
          <cell r="B562" t="str">
            <v>SWR  FITTING PIPE CLIP (90 MM)</v>
          </cell>
          <cell r="C562" t="str">
            <v>SWR FITTING</v>
          </cell>
          <cell r="D562">
            <v>38</v>
          </cell>
        </row>
        <row r="563">
          <cell r="A563">
            <v>5162</v>
          </cell>
          <cell r="B563" t="str">
            <v>SWR  FITTING PIPE CLIP (110 MM)</v>
          </cell>
          <cell r="C563" t="str">
            <v>SWR FITTING</v>
          </cell>
          <cell r="D563">
            <v>55</v>
          </cell>
        </row>
        <row r="564">
          <cell r="A564">
            <v>5662</v>
          </cell>
          <cell r="B564" t="str">
            <v>SWR  FITTING PIPE CLIP (160 MM)</v>
          </cell>
          <cell r="C564" t="str">
            <v>SWR FITTING</v>
          </cell>
          <cell r="D564">
            <v>108.5</v>
          </cell>
        </row>
        <row r="565">
          <cell r="A565">
            <v>5763</v>
          </cell>
          <cell r="B565" t="str">
            <v>SWR  FITTING NAHANI TRAP &amp; JALI (75 MM)</v>
          </cell>
          <cell r="C565" t="str">
            <v>SWR FITTING</v>
          </cell>
          <cell r="D565">
            <v>344</v>
          </cell>
        </row>
        <row r="566">
          <cell r="A566">
            <v>5963</v>
          </cell>
          <cell r="B566" t="str">
            <v>SWR  FITTING NAHANI TRAP &amp; JALI (90 MM)</v>
          </cell>
          <cell r="C566" t="str">
            <v>SWR FITTING</v>
          </cell>
          <cell r="D566">
            <v>404</v>
          </cell>
        </row>
        <row r="567">
          <cell r="A567">
            <v>5163</v>
          </cell>
          <cell r="B567" t="str">
            <v>SWR  FITTING NAHANI TRAP &amp; JALI (110 MM)</v>
          </cell>
          <cell r="C567" t="str">
            <v>SWR FITTING</v>
          </cell>
          <cell r="D567">
            <v>423</v>
          </cell>
        </row>
        <row r="568">
          <cell r="A568" t="str">
            <v>5763-W</v>
          </cell>
          <cell r="B568" t="str">
            <v>SWR  FITTING NAHANI TRAP WITHOUT ROUND JALI (75 MM)</v>
          </cell>
          <cell r="C568" t="str">
            <v>SWR FITTING</v>
          </cell>
          <cell r="D568">
            <v>344</v>
          </cell>
        </row>
        <row r="569">
          <cell r="A569" t="str">
            <v>5163-W</v>
          </cell>
          <cell r="B569" t="str">
            <v>SWR  FITTING NAHANI TRAP WITHOUT ROUND JALI (110MM)</v>
          </cell>
          <cell r="C569" t="str">
            <v>SWR FITTING</v>
          </cell>
          <cell r="D569">
            <v>423</v>
          </cell>
        </row>
        <row r="570">
          <cell r="A570" t="str">
            <v>5963-W</v>
          </cell>
          <cell r="B570" t="str">
            <v>SWR  FITTING NAHANI TRAP WITHOUT ROUND JALI (90MM)</v>
          </cell>
          <cell r="C570" t="str">
            <v>SWR FITTING</v>
          </cell>
          <cell r="D570">
            <v>404</v>
          </cell>
        </row>
        <row r="571">
          <cell r="A571">
            <v>5764</v>
          </cell>
          <cell r="B571" t="str">
            <v>SWR 75MM DOOR CAP</v>
          </cell>
          <cell r="C571" t="str">
            <v>SWR FITTING</v>
          </cell>
          <cell r="D571">
            <v>41.53</v>
          </cell>
        </row>
        <row r="572">
          <cell r="A572">
            <v>5964</v>
          </cell>
          <cell r="B572" t="str">
            <v>SWR 90MM DOOR CAP</v>
          </cell>
          <cell r="C572" t="str">
            <v>SWR FITTING</v>
          </cell>
          <cell r="D572">
            <v>59</v>
          </cell>
        </row>
        <row r="573">
          <cell r="A573">
            <v>5164</v>
          </cell>
          <cell r="B573" t="str">
            <v>SWR 110MM DOOR CAP</v>
          </cell>
          <cell r="C573" t="str">
            <v>SWR FITTING</v>
          </cell>
          <cell r="D573">
            <v>82.3</v>
          </cell>
        </row>
        <row r="574">
          <cell r="A574">
            <v>5664</v>
          </cell>
          <cell r="B574" t="str">
            <v>SWR 160MM DOOR CAP</v>
          </cell>
          <cell r="C574" t="str">
            <v>SWR FITTING</v>
          </cell>
          <cell r="D574">
            <v>146</v>
          </cell>
        </row>
        <row r="575">
          <cell r="A575">
            <v>5765</v>
          </cell>
          <cell r="B575" t="str">
            <v>SWR FITTING ROUND JALI (110MM)</v>
          </cell>
          <cell r="C575" t="str">
            <v>SWR FITTING</v>
          </cell>
          <cell r="D575">
            <v>53</v>
          </cell>
        </row>
        <row r="576">
          <cell r="A576">
            <v>4761</v>
          </cell>
          <cell r="B576" t="str">
            <v>SWR FITTING VENT COWL(63MM)</v>
          </cell>
          <cell r="C576" t="str">
            <v>SWR FITTING</v>
          </cell>
          <cell r="D576">
            <v>29</v>
          </cell>
        </row>
        <row r="577">
          <cell r="A577">
            <v>5171</v>
          </cell>
          <cell r="B577" t="str">
            <v>P TRAP (110x110 MM)</v>
          </cell>
          <cell r="C577" t="str">
            <v>SWR FITTING</v>
          </cell>
          <cell r="D577">
            <v>802</v>
          </cell>
        </row>
        <row r="578">
          <cell r="A578" t="str">
            <v>5171N</v>
          </cell>
          <cell r="B578" t="str">
            <v>P TRAP (110x110 MM) (NEW)</v>
          </cell>
          <cell r="C578" t="str">
            <v>SWR FITTING</v>
          </cell>
        </row>
        <row r="579">
          <cell r="A579">
            <v>5771</v>
          </cell>
          <cell r="B579" t="str">
            <v>SWR  FITTING P TRAP (125X110MM)</v>
          </cell>
          <cell r="C579" t="str">
            <v>SWR FITTING</v>
          </cell>
          <cell r="D579">
            <v>896</v>
          </cell>
        </row>
        <row r="580">
          <cell r="A580" t="str">
            <v>5771-W</v>
          </cell>
          <cell r="B580" t="str">
            <v>SWR  FITTING P TRAP (125X110MM)</v>
          </cell>
          <cell r="C580" t="str">
            <v>SWR FITTING</v>
          </cell>
          <cell r="D580">
            <v>896</v>
          </cell>
        </row>
        <row r="581">
          <cell r="A581">
            <v>5172</v>
          </cell>
          <cell r="B581" t="str">
            <v>Q TRAP (110X110MM)</v>
          </cell>
          <cell r="C581" t="str">
            <v>SWR FITTING</v>
          </cell>
          <cell r="D581">
            <v>900.6</v>
          </cell>
        </row>
        <row r="582">
          <cell r="A582">
            <v>5772</v>
          </cell>
          <cell r="B582" t="str">
            <v>Q TRAP (125X110MM)</v>
          </cell>
          <cell r="C582" t="str">
            <v>SWR FITTING</v>
          </cell>
          <cell r="D582">
            <v>900.6</v>
          </cell>
        </row>
        <row r="583">
          <cell r="A583">
            <v>5173</v>
          </cell>
          <cell r="B583" t="str">
            <v>SWR  FITTING S TRAP (110 X110MM)</v>
          </cell>
          <cell r="C583" t="str">
            <v>SWR FITTING</v>
          </cell>
          <cell r="D583">
            <v>960</v>
          </cell>
        </row>
        <row r="584">
          <cell r="A584">
            <v>5773</v>
          </cell>
          <cell r="B584" t="str">
            <v>SWR  FITTING S TRAP (125X110 MM)</v>
          </cell>
          <cell r="C584" t="str">
            <v>SWR FITTING</v>
          </cell>
          <cell r="D584">
            <v>1054</v>
          </cell>
        </row>
        <row r="585">
          <cell r="A585">
            <v>5791</v>
          </cell>
          <cell r="B585" t="str">
            <v>SWR  FITTING FLOOR TRAP (110X75 MM)</v>
          </cell>
          <cell r="C585" t="str">
            <v>SWR FITTING</v>
          </cell>
          <cell r="D585">
            <v>269.7</v>
          </cell>
        </row>
        <row r="586">
          <cell r="A586" t="str">
            <v>5710S</v>
          </cell>
          <cell r="B586" t="str">
            <v xml:space="preserve">75 MM 45° BEND </v>
          </cell>
          <cell r="C586" t="str">
            <v>SWR FITTING</v>
          </cell>
          <cell r="D586">
            <v>141</v>
          </cell>
        </row>
        <row r="587">
          <cell r="A587" t="str">
            <v>5910S</v>
          </cell>
          <cell r="B587" t="str">
            <v xml:space="preserve">90 MM 45° BEND </v>
          </cell>
          <cell r="C587" t="str">
            <v>SWR FITTING</v>
          </cell>
          <cell r="D587">
            <v>190</v>
          </cell>
        </row>
        <row r="588">
          <cell r="A588" t="str">
            <v>5110S</v>
          </cell>
          <cell r="B588" t="str">
            <v xml:space="preserve">110 MM 45° BEND </v>
          </cell>
          <cell r="C588" t="str">
            <v>SWR FITTING</v>
          </cell>
          <cell r="D588">
            <v>258</v>
          </cell>
        </row>
        <row r="589">
          <cell r="A589" t="str">
            <v>5610S</v>
          </cell>
          <cell r="B589" t="str">
            <v xml:space="preserve">160 MM 45° BEND </v>
          </cell>
          <cell r="C589" t="str">
            <v>SWR FITTING</v>
          </cell>
          <cell r="D589">
            <v>662</v>
          </cell>
        </row>
        <row r="590">
          <cell r="A590" t="str">
            <v>5711S</v>
          </cell>
          <cell r="B590" t="str">
            <v xml:space="preserve">75 MM BEND </v>
          </cell>
          <cell r="C590" t="str">
            <v>SWR FITTING</v>
          </cell>
          <cell r="D590">
            <v>165</v>
          </cell>
        </row>
        <row r="591">
          <cell r="A591" t="str">
            <v>5911S</v>
          </cell>
          <cell r="B591" t="str">
            <v xml:space="preserve">90 MM BEND </v>
          </cell>
          <cell r="C591" t="str">
            <v>SWR FITTING</v>
          </cell>
          <cell r="D591">
            <v>221</v>
          </cell>
        </row>
        <row r="592">
          <cell r="A592" t="str">
            <v>5111S</v>
          </cell>
          <cell r="B592" t="str">
            <v xml:space="preserve">110 MM BEND </v>
          </cell>
          <cell r="C592" t="str">
            <v>SWR FITTING</v>
          </cell>
          <cell r="D592">
            <v>327</v>
          </cell>
        </row>
        <row r="593">
          <cell r="A593" t="str">
            <v>5611S</v>
          </cell>
          <cell r="B593" t="str">
            <v xml:space="preserve">160 MM BEND </v>
          </cell>
          <cell r="C593" t="str">
            <v>SWR FITTING</v>
          </cell>
          <cell r="D593">
            <v>817</v>
          </cell>
        </row>
        <row r="594">
          <cell r="A594" t="str">
            <v>5712S</v>
          </cell>
          <cell r="B594" t="str">
            <v xml:space="preserve">75 MM BEND WITH DOOR </v>
          </cell>
          <cell r="C594" t="str">
            <v>SWR FITTING</v>
          </cell>
          <cell r="D594">
            <v>176</v>
          </cell>
        </row>
        <row r="595">
          <cell r="A595" t="str">
            <v>5912S</v>
          </cell>
          <cell r="B595" t="str">
            <v xml:space="preserve">90MM BEND WITH DOOR </v>
          </cell>
          <cell r="C595" t="str">
            <v>SWR FITTING</v>
          </cell>
          <cell r="D595">
            <v>232</v>
          </cell>
        </row>
        <row r="596">
          <cell r="A596" t="str">
            <v>5112S</v>
          </cell>
          <cell r="B596" t="str">
            <v xml:space="preserve">110 MM BEND WITH DOOR </v>
          </cell>
          <cell r="C596" t="str">
            <v>SWR FITTING</v>
          </cell>
          <cell r="D596">
            <v>344</v>
          </cell>
        </row>
        <row r="597">
          <cell r="A597" t="str">
            <v>5612S</v>
          </cell>
          <cell r="B597" t="str">
            <v xml:space="preserve">160 MM BEND WITH DOOR </v>
          </cell>
          <cell r="C597" t="str">
            <v>SWR FITTING</v>
          </cell>
          <cell r="D597">
            <v>827</v>
          </cell>
        </row>
        <row r="598">
          <cell r="A598" t="str">
            <v>5721S</v>
          </cell>
          <cell r="B598" t="str">
            <v>75 MM COUPLER</v>
          </cell>
          <cell r="C598" t="str">
            <v>SWR FITTING</v>
          </cell>
          <cell r="D598">
            <v>99.5</v>
          </cell>
        </row>
        <row r="599">
          <cell r="A599" t="str">
            <v>5921S</v>
          </cell>
          <cell r="B599" t="str">
            <v>90 MM COUPLER</v>
          </cell>
          <cell r="C599" t="str">
            <v>SWR FITTING</v>
          </cell>
          <cell r="D599">
            <v>138</v>
          </cell>
        </row>
        <row r="600">
          <cell r="A600" t="str">
            <v>5121S</v>
          </cell>
          <cell r="B600" t="str">
            <v>110 MM COUPLER</v>
          </cell>
          <cell r="C600" t="str">
            <v>SWR FITTING</v>
          </cell>
          <cell r="D600">
            <v>179.7</v>
          </cell>
        </row>
        <row r="601">
          <cell r="A601" t="str">
            <v>5621S</v>
          </cell>
          <cell r="B601" t="str">
            <v>160 MM COUPLER</v>
          </cell>
          <cell r="C601" t="str">
            <v>SWR FITTING</v>
          </cell>
          <cell r="D601">
            <v>405.5</v>
          </cell>
        </row>
        <row r="602">
          <cell r="A602" t="str">
            <v>5722S</v>
          </cell>
          <cell r="B602" t="str">
            <v xml:space="preserve">75 MM REPAIER COUPLER </v>
          </cell>
          <cell r="C602" t="str">
            <v>SWR FITTING</v>
          </cell>
          <cell r="D602">
            <v>98</v>
          </cell>
        </row>
        <row r="603">
          <cell r="A603" t="str">
            <v>5922S</v>
          </cell>
          <cell r="B603" t="str">
            <v xml:space="preserve">90 MM REPAIER COUPLER </v>
          </cell>
          <cell r="C603" t="str">
            <v>SWR FITTING</v>
          </cell>
          <cell r="D603">
            <v>137</v>
          </cell>
        </row>
        <row r="604">
          <cell r="A604" t="str">
            <v>5122S</v>
          </cell>
          <cell r="B604" t="str">
            <v xml:space="preserve">110 MM REPAIER COUPLER </v>
          </cell>
          <cell r="C604" t="str">
            <v>SWR FITTING</v>
          </cell>
          <cell r="D604">
            <v>177</v>
          </cell>
        </row>
        <row r="605">
          <cell r="A605" t="str">
            <v>5622S</v>
          </cell>
          <cell r="B605" t="str">
            <v xml:space="preserve">160MM REPAIER COUPLER </v>
          </cell>
          <cell r="C605" t="str">
            <v>SWR FITTING</v>
          </cell>
          <cell r="D605">
            <v>401</v>
          </cell>
        </row>
        <row r="606">
          <cell r="A606" t="str">
            <v>5733S</v>
          </cell>
          <cell r="B606" t="str">
            <v>75 MM TEE</v>
          </cell>
          <cell r="C606" t="str">
            <v>SWR FITTING</v>
          </cell>
          <cell r="D606">
            <v>251</v>
          </cell>
        </row>
        <row r="607">
          <cell r="A607" t="str">
            <v>5933S</v>
          </cell>
          <cell r="B607" t="str">
            <v>90 MM TEE</v>
          </cell>
          <cell r="C607" t="str">
            <v>SWR FITTING</v>
          </cell>
          <cell r="D607">
            <v>324</v>
          </cell>
        </row>
        <row r="608">
          <cell r="A608" t="str">
            <v>5133S</v>
          </cell>
          <cell r="B608" t="str">
            <v>110 MM TEE</v>
          </cell>
          <cell r="C608" t="str">
            <v>SWR FITTING</v>
          </cell>
          <cell r="D608">
            <v>452.5</v>
          </cell>
        </row>
        <row r="609">
          <cell r="A609" t="str">
            <v>5633S</v>
          </cell>
          <cell r="B609" t="str">
            <v>160 MM TEE</v>
          </cell>
          <cell r="C609" t="str">
            <v>SWR FITTING</v>
          </cell>
          <cell r="D609">
            <v>1151</v>
          </cell>
        </row>
        <row r="610">
          <cell r="A610" t="str">
            <v>5734S</v>
          </cell>
          <cell r="B610" t="str">
            <v xml:space="preserve">75 MM TEE WITH DOOR </v>
          </cell>
          <cell r="C610" t="str">
            <v>SWR FITTING</v>
          </cell>
          <cell r="D610">
            <v>269</v>
          </cell>
        </row>
        <row r="611">
          <cell r="A611" t="str">
            <v>5934S</v>
          </cell>
          <cell r="B611" t="str">
            <v xml:space="preserve">90 MM TEE WITH DOOR </v>
          </cell>
          <cell r="C611" t="str">
            <v>SWR FITTING</v>
          </cell>
          <cell r="D611">
            <v>339</v>
          </cell>
        </row>
        <row r="612">
          <cell r="A612" t="str">
            <v>5134S</v>
          </cell>
          <cell r="B612" t="str">
            <v xml:space="preserve">110 MM TEE WITH DOOR </v>
          </cell>
          <cell r="C612" t="str">
            <v>SWR FITTING</v>
          </cell>
          <cell r="D612">
            <v>481</v>
          </cell>
        </row>
        <row r="613">
          <cell r="A613" t="str">
            <v>5634S</v>
          </cell>
          <cell r="B613" t="str">
            <v xml:space="preserve">160 MM TEE WITH DOOR </v>
          </cell>
          <cell r="C613" t="str">
            <v>SWR FITTING</v>
          </cell>
          <cell r="D613">
            <v>1142</v>
          </cell>
        </row>
        <row r="614">
          <cell r="A614" t="str">
            <v>5741S</v>
          </cell>
          <cell r="B614" t="str">
            <v>75 MM SINGLE Y</v>
          </cell>
          <cell r="C614" t="str">
            <v>SWR FITTING</v>
          </cell>
          <cell r="D614">
            <v>308</v>
          </cell>
        </row>
        <row r="615">
          <cell r="A615" t="str">
            <v>5941S</v>
          </cell>
          <cell r="B615" t="str">
            <v>90 MM SINGLE Y</v>
          </cell>
          <cell r="C615" t="str">
            <v>SWR FITTING</v>
          </cell>
          <cell r="D615">
            <v>401</v>
          </cell>
        </row>
        <row r="616">
          <cell r="A616" t="str">
            <v>5141S</v>
          </cell>
          <cell r="B616" t="str">
            <v>110 MM SINGLE Y</v>
          </cell>
          <cell r="C616" t="str">
            <v>SWR FITTING</v>
          </cell>
          <cell r="D616">
            <v>587</v>
          </cell>
        </row>
        <row r="617">
          <cell r="A617" t="str">
            <v>5641S</v>
          </cell>
          <cell r="B617" t="str">
            <v>160 MM SINGLE Y</v>
          </cell>
          <cell r="C617" t="str">
            <v>SWR FITTING</v>
          </cell>
          <cell r="D617">
            <v>1513</v>
          </cell>
        </row>
        <row r="618">
          <cell r="A618" t="str">
            <v>5742S</v>
          </cell>
          <cell r="B618" t="str">
            <v xml:space="preserve">75 MM SINGLE Y WITH DOOR </v>
          </cell>
          <cell r="C618" t="str">
            <v>SWR FITTING</v>
          </cell>
          <cell r="D618">
            <v>317</v>
          </cell>
        </row>
        <row r="619">
          <cell r="A619" t="str">
            <v>5942S</v>
          </cell>
          <cell r="B619" t="str">
            <v xml:space="preserve">90 MM SINGLE Y WITH DOOR </v>
          </cell>
          <cell r="C619" t="str">
            <v>SWR FITTING</v>
          </cell>
          <cell r="D619">
            <v>412</v>
          </cell>
        </row>
        <row r="620">
          <cell r="A620" t="str">
            <v>5142S</v>
          </cell>
          <cell r="B620" t="str">
            <v xml:space="preserve">110 MM SINGLE Y WITH DOOR </v>
          </cell>
          <cell r="C620" t="str">
            <v>SWR FITTING</v>
          </cell>
          <cell r="D620">
            <v>614</v>
          </cell>
        </row>
        <row r="621">
          <cell r="A621" t="str">
            <v>5642S</v>
          </cell>
          <cell r="B621" t="str">
            <v xml:space="preserve">160 MM SINGLE Y WITH DOOR </v>
          </cell>
          <cell r="C621" t="str">
            <v>SWR FITTING</v>
          </cell>
          <cell r="D621">
            <v>1.514</v>
          </cell>
        </row>
        <row r="622">
          <cell r="A622" t="str">
            <v>A-264</v>
          </cell>
          <cell r="B622" t="str">
            <v>COUPLING 40 MM</v>
          </cell>
          <cell r="C622" t="str">
            <v>AGRI FITTING</v>
          </cell>
          <cell r="D622">
            <v>33.700000000000003</v>
          </cell>
        </row>
        <row r="623">
          <cell r="A623" t="str">
            <v>A-265</v>
          </cell>
          <cell r="B623" t="str">
            <v>COUPLING 50 MM</v>
          </cell>
          <cell r="C623" t="str">
            <v>AGRI FITTING</v>
          </cell>
          <cell r="D623">
            <v>55.2</v>
          </cell>
        </row>
        <row r="624">
          <cell r="A624" t="str">
            <v>A-266</v>
          </cell>
          <cell r="B624" t="str">
            <v>COUPLING 63 MM</v>
          </cell>
          <cell r="C624" t="str">
            <v>AGRI FITTING</v>
          </cell>
          <cell r="D624">
            <v>88.35</v>
          </cell>
        </row>
        <row r="625">
          <cell r="A625" t="str">
            <v>A-267</v>
          </cell>
          <cell r="B625" t="str">
            <v>COUPLING 75 MM</v>
          </cell>
          <cell r="C625" t="str">
            <v>AGRI FITTING</v>
          </cell>
          <cell r="D625">
            <v>128.9</v>
          </cell>
        </row>
        <row r="626">
          <cell r="A626" t="str">
            <v>A-268</v>
          </cell>
          <cell r="B626" t="str">
            <v>COUPLING 90 MM</v>
          </cell>
          <cell r="C626" t="str">
            <v>AGRI FITTING</v>
          </cell>
          <cell r="D626">
            <v>191</v>
          </cell>
        </row>
        <row r="627">
          <cell r="A627" t="str">
            <v>A-269</v>
          </cell>
          <cell r="B627" t="str">
            <v>COUPLING 110 MM</v>
          </cell>
          <cell r="C627" t="str">
            <v>AGRI FITTING</v>
          </cell>
          <cell r="D627">
            <v>295.60000000000002</v>
          </cell>
        </row>
        <row r="628">
          <cell r="A628" t="str">
            <v>A-270</v>
          </cell>
          <cell r="B628" t="str">
            <v>COUPLING 125MM</v>
          </cell>
          <cell r="C628" t="str">
            <v>AGRI FITTING</v>
          </cell>
          <cell r="D628">
            <v>400</v>
          </cell>
        </row>
        <row r="629">
          <cell r="A629" t="str">
            <v>A-271</v>
          </cell>
          <cell r="B629" t="str">
            <v>COUPLING 140 MM</v>
          </cell>
          <cell r="C629" t="str">
            <v>AGRI FITTING</v>
          </cell>
          <cell r="D629">
            <v>543.5</v>
          </cell>
        </row>
        <row r="630">
          <cell r="A630" t="str">
            <v>A-272</v>
          </cell>
          <cell r="B630" t="str">
            <v>COUPLING 160 MM</v>
          </cell>
          <cell r="C630" t="str">
            <v>AGRI FITTING</v>
          </cell>
          <cell r="D630">
            <v>756.7</v>
          </cell>
        </row>
        <row r="631">
          <cell r="A631" t="str">
            <v>A-364</v>
          </cell>
          <cell r="B631" t="str">
            <v>TEE 40 MM</v>
          </cell>
          <cell r="C631" t="str">
            <v>AGRI FITTING</v>
          </cell>
          <cell r="D631">
            <v>78.900000000000006</v>
          </cell>
        </row>
        <row r="632">
          <cell r="A632" t="str">
            <v>A-365</v>
          </cell>
          <cell r="B632" t="str">
            <v>TEE 50 MM</v>
          </cell>
          <cell r="C632" t="str">
            <v>AGRI FITTING</v>
          </cell>
          <cell r="D632">
            <v>123.5</v>
          </cell>
        </row>
        <row r="633">
          <cell r="A633" t="str">
            <v>A-366</v>
          </cell>
          <cell r="B633" t="str">
            <v>TEE 63 MM</v>
          </cell>
          <cell r="C633" t="str">
            <v>AGRI FITTING</v>
          </cell>
          <cell r="D633">
            <v>200.2</v>
          </cell>
        </row>
        <row r="634">
          <cell r="A634" t="str">
            <v>A-367</v>
          </cell>
          <cell r="B634" t="str">
            <v>TEE 75 MM</v>
          </cell>
          <cell r="C634" t="str">
            <v>AGRI FITTING</v>
          </cell>
          <cell r="D634">
            <v>305.5</v>
          </cell>
        </row>
        <row r="635">
          <cell r="A635" t="str">
            <v>A-368</v>
          </cell>
          <cell r="B635" t="str">
            <v>TEE  90 MM</v>
          </cell>
          <cell r="C635" t="str">
            <v>AGRI FITTING</v>
          </cell>
          <cell r="D635">
            <v>461</v>
          </cell>
        </row>
        <row r="636">
          <cell r="A636" t="str">
            <v>A-369</v>
          </cell>
          <cell r="B636" t="str">
            <v>TEE 110 MM</v>
          </cell>
          <cell r="C636" t="str">
            <v>AGRI FITTING</v>
          </cell>
          <cell r="D636">
            <v>725</v>
          </cell>
        </row>
        <row r="637">
          <cell r="A637" t="str">
            <v>A-370</v>
          </cell>
          <cell r="B637" t="str">
            <v>TEE 125 MM</v>
          </cell>
          <cell r="C637" t="str">
            <v>AGRI FITTING</v>
          </cell>
          <cell r="D637">
            <v>967.5</v>
          </cell>
        </row>
        <row r="638">
          <cell r="A638" t="str">
            <v>A-371</v>
          </cell>
          <cell r="B638" t="str">
            <v>TEE 140 MM</v>
          </cell>
          <cell r="C638" t="str">
            <v>AGRI FITTING</v>
          </cell>
          <cell r="D638">
            <v>1333</v>
          </cell>
        </row>
        <row r="639">
          <cell r="A639" t="str">
            <v>A-372</v>
          </cell>
          <cell r="B639" t="str">
            <v>TEE 160 MM</v>
          </cell>
          <cell r="C639" t="str">
            <v>AGRI FITTING</v>
          </cell>
          <cell r="D639">
            <v>1840</v>
          </cell>
        </row>
        <row r="640">
          <cell r="A640" t="str">
            <v>A-464</v>
          </cell>
          <cell r="B640" t="str">
            <v>ELBOW 40 MM</v>
          </cell>
          <cell r="C640" t="str">
            <v>AGRI FITTING</v>
          </cell>
          <cell r="D640">
            <v>61.5</v>
          </cell>
        </row>
        <row r="641">
          <cell r="A641" t="str">
            <v>A-465</v>
          </cell>
          <cell r="B641" t="str">
            <v>ELBOW 50 MM</v>
          </cell>
          <cell r="C641" t="str">
            <v>AGRI FITTING</v>
          </cell>
          <cell r="D641">
            <v>97.5</v>
          </cell>
        </row>
        <row r="642">
          <cell r="A642" t="str">
            <v>A-466</v>
          </cell>
          <cell r="B642" t="str">
            <v>ELBOW 63 MM</v>
          </cell>
          <cell r="C642" t="str">
            <v>AGRI FITTING</v>
          </cell>
          <cell r="D642">
            <v>152.69999999999999</v>
          </cell>
        </row>
        <row r="643">
          <cell r="A643" t="str">
            <v>A-467</v>
          </cell>
          <cell r="B643" t="str">
            <v>ELBOW 75 MM</v>
          </cell>
          <cell r="C643" t="str">
            <v>AGRI FITTING</v>
          </cell>
          <cell r="D643">
            <v>232.8</v>
          </cell>
        </row>
        <row r="644">
          <cell r="A644" t="str">
            <v>A-468</v>
          </cell>
          <cell r="B644" t="str">
            <v>ELBOW 90 MM</v>
          </cell>
          <cell r="C644" t="str">
            <v>AGRI FITTING</v>
          </cell>
          <cell r="D644">
            <v>344</v>
          </cell>
        </row>
        <row r="645">
          <cell r="A645" t="str">
            <v>A-469</v>
          </cell>
          <cell r="B645" t="str">
            <v>ELBOW 110 MM</v>
          </cell>
          <cell r="C645" t="str">
            <v>AGRI FITTING</v>
          </cell>
          <cell r="D645">
            <v>533</v>
          </cell>
        </row>
        <row r="646">
          <cell r="A646" t="str">
            <v>A-470</v>
          </cell>
          <cell r="B646" t="str">
            <v>ELBOW 125 MM</v>
          </cell>
          <cell r="C646" t="str">
            <v>AGRI FITTING</v>
          </cell>
          <cell r="D646">
            <v>797</v>
          </cell>
        </row>
        <row r="647">
          <cell r="A647" t="str">
            <v>A-471</v>
          </cell>
          <cell r="B647" t="str">
            <v>ELBOW 140 MM</v>
          </cell>
          <cell r="C647" t="str">
            <v>AGRI FITTING</v>
          </cell>
          <cell r="D647">
            <v>1051</v>
          </cell>
        </row>
        <row r="648">
          <cell r="A648" t="str">
            <v>A-472</v>
          </cell>
          <cell r="B648" t="str">
            <v>ELBOW 160 MM</v>
          </cell>
          <cell r="C648" t="str">
            <v>AGRI FITTING</v>
          </cell>
          <cell r="D648">
            <v>1568</v>
          </cell>
        </row>
        <row r="649">
          <cell r="A649" t="str">
            <v>A-564</v>
          </cell>
          <cell r="B649" t="str">
            <v>END CAP 40 MM</v>
          </cell>
          <cell r="C649" t="str">
            <v>AGRI FITTING</v>
          </cell>
          <cell r="D649">
            <v>24.6</v>
          </cell>
        </row>
        <row r="650">
          <cell r="A650" t="str">
            <v>A-565</v>
          </cell>
          <cell r="B650" t="str">
            <v>END CAP 50 MM</v>
          </cell>
          <cell r="C650" t="str">
            <v>AGRI FITTING</v>
          </cell>
          <cell r="D650">
            <v>40</v>
          </cell>
        </row>
        <row r="651">
          <cell r="A651" t="str">
            <v>A-566</v>
          </cell>
          <cell r="B651" t="str">
            <v>END CAP 63 MM</v>
          </cell>
          <cell r="C651" t="str">
            <v>AGRI FITTING</v>
          </cell>
          <cell r="D651">
            <v>64.099999999999994</v>
          </cell>
        </row>
        <row r="652">
          <cell r="A652" t="str">
            <v>A-567</v>
          </cell>
          <cell r="B652" t="str">
            <v>END CAP 75 MM</v>
          </cell>
          <cell r="C652" t="str">
            <v>AGRI FITTING</v>
          </cell>
          <cell r="D652">
            <v>89.7</v>
          </cell>
        </row>
        <row r="653">
          <cell r="A653" t="str">
            <v>A-568</v>
          </cell>
          <cell r="B653" t="str">
            <v>END CAP 90 MM</v>
          </cell>
          <cell r="C653" t="str">
            <v>AGRI FITTING</v>
          </cell>
          <cell r="D653">
            <v>138.5</v>
          </cell>
        </row>
        <row r="654">
          <cell r="A654" t="str">
            <v>A-569</v>
          </cell>
          <cell r="B654" t="str">
            <v>END CAP 110 MM</v>
          </cell>
          <cell r="C654" t="str">
            <v>AGRI FITTING</v>
          </cell>
          <cell r="D654">
            <v>218</v>
          </cell>
        </row>
        <row r="655">
          <cell r="A655" t="str">
            <v>A-570</v>
          </cell>
          <cell r="B655" t="str">
            <v>END CAP 125 MM</v>
          </cell>
          <cell r="C655" t="str">
            <v>AGRI FITTING</v>
          </cell>
          <cell r="D655">
            <v>278</v>
          </cell>
        </row>
        <row r="656">
          <cell r="A656" t="str">
            <v>A-571</v>
          </cell>
          <cell r="B656" t="str">
            <v>END CAP 140 MM</v>
          </cell>
          <cell r="C656" t="str">
            <v>AGRI FITTING</v>
          </cell>
          <cell r="D656">
            <v>381.2</v>
          </cell>
        </row>
        <row r="657">
          <cell r="A657" t="str">
            <v>A-572</v>
          </cell>
          <cell r="B657" t="str">
            <v>END CAP 160 MM</v>
          </cell>
          <cell r="C657" t="str">
            <v>AGRI FITTING</v>
          </cell>
          <cell r="D657">
            <v>542</v>
          </cell>
        </row>
        <row r="658">
          <cell r="A658" t="str">
            <v>A-661</v>
          </cell>
          <cell r="B658" t="str">
            <v>REDUCER TEE 75X50 MM</v>
          </cell>
          <cell r="C658" t="str">
            <v>AGRI FITTING</v>
          </cell>
          <cell r="D658">
            <v>233.5</v>
          </cell>
        </row>
        <row r="659">
          <cell r="A659" t="str">
            <v>A-662</v>
          </cell>
          <cell r="B659" t="str">
            <v>REDUCER TEE 75X63 MM</v>
          </cell>
          <cell r="C659" t="str">
            <v>AGRI FITTING</v>
          </cell>
          <cell r="D659">
            <v>271.5</v>
          </cell>
        </row>
        <row r="660">
          <cell r="A660" t="str">
            <v>A-663</v>
          </cell>
          <cell r="B660" t="str">
            <v xml:space="preserve"> REDUCER TEE  90X63 MM</v>
          </cell>
          <cell r="C660" t="str">
            <v>AGRI FITTING</v>
          </cell>
          <cell r="D660">
            <v>360.5</v>
          </cell>
        </row>
        <row r="661">
          <cell r="A661" t="str">
            <v>A-664</v>
          </cell>
          <cell r="B661" t="str">
            <v>REDUCER TEE 90X75 MM</v>
          </cell>
          <cell r="C661" t="str">
            <v>AGRI FITTING</v>
          </cell>
          <cell r="D661">
            <v>389.4</v>
          </cell>
        </row>
        <row r="662">
          <cell r="A662" t="str">
            <v>A-665</v>
          </cell>
          <cell r="B662" t="str">
            <v>REDUCER TEE 110X63 MM</v>
          </cell>
          <cell r="C662" t="str">
            <v>AGRI FITTING</v>
          </cell>
          <cell r="D662">
            <v>507.5</v>
          </cell>
        </row>
        <row r="663">
          <cell r="A663" t="str">
            <v>A-666</v>
          </cell>
          <cell r="B663" t="str">
            <v>REDUCER TEE 110X75 MM</v>
          </cell>
          <cell r="C663" t="str">
            <v>AGRI FITTING</v>
          </cell>
          <cell r="D663">
            <v>556</v>
          </cell>
        </row>
        <row r="664">
          <cell r="A664" t="str">
            <v>A-667</v>
          </cell>
          <cell r="B664" t="str">
            <v>REDUCER TEE110X90 MM</v>
          </cell>
          <cell r="C664" t="str">
            <v>AGRI FITTING</v>
          </cell>
          <cell r="D664">
            <v>618</v>
          </cell>
        </row>
        <row r="665">
          <cell r="A665" t="str">
            <v>A-668</v>
          </cell>
          <cell r="B665" t="str">
            <v>REDUCER TEE 140X75 MM</v>
          </cell>
          <cell r="C665" t="str">
            <v>AGRI FITTING</v>
          </cell>
          <cell r="D665">
            <v>0</v>
          </cell>
        </row>
        <row r="666">
          <cell r="A666" t="str">
            <v>A-669</v>
          </cell>
          <cell r="B666" t="str">
            <v>REDUCER TEE 140X90 MM</v>
          </cell>
          <cell r="C666" t="str">
            <v>AGRI FITTING</v>
          </cell>
          <cell r="D666">
            <v>972</v>
          </cell>
        </row>
        <row r="667">
          <cell r="A667" t="str">
            <v>A-670</v>
          </cell>
          <cell r="B667" t="str">
            <v>REDUCER TEE 160X75 MM</v>
          </cell>
          <cell r="C667" t="str">
            <v>AGRI FITTING</v>
          </cell>
          <cell r="D667">
            <v>1205</v>
          </cell>
        </row>
        <row r="668">
          <cell r="A668" t="str">
            <v>A-671</v>
          </cell>
          <cell r="B668" t="str">
            <v>REDUCER TEE 160X90 MM</v>
          </cell>
          <cell r="C668" t="str">
            <v>AGRI FITTING</v>
          </cell>
          <cell r="D668">
            <v>1282</v>
          </cell>
        </row>
        <row r="669">
          <cell r="A669" t="str">
            <v>A-672</v>
          </cell>
          <cell r="B669" t="str">
            <v>REDUCER TEE 160X110 MM</v>
          </cell>
          <cell r="C669" t="str">
            <v>AGRI FITTING</v>
          </cell>
          <cell r="D669">
            <v>1396</v>
          </cell>
        </row>
        <row r="670">
          <cell r="A670" t="str">
            <v>A-761</v>
          </cell>
          <cell r="B670" t="str">
            <v>REDUCER COUPLER 75X50</v>
          </cell>
          <cell r="C670" t="str">
            <v>AGRI FITTING</v>
          </cell>
          <cell r="D670">
            <v>1005</v>
          </cell>
        </row>
        <row r="671">
          <cell r="A671" t="str">
            <v>A-762</v>
          </cell>
          <cell r="B671" t="str">
            <v>REDUCERCOUPLER 75X63</v>
          </cell>
          <cell r="C671" t="str">
            <v>AGRI FITTING</v>
          </cell>
          <cell r="D671">
            <v>111.7</v>
          </cell>
        </row>
        <row r="672">
          <cell r="A672" t="str">
            <v>A-763</v>
          </cell>
          <cell r="B672" t="str">
            <v>REDUCER COUPLER 90X50</v>
          </cell>
          <cell r="C672" t="str">
            <v>AGRI FITTING</v>
          </cell>
          <cell r="D672">
            <v>144</v>
          </cell>
        </row>
        <row r="673">
          <cell r="A673" t="str">
            <v>A-764</v>
          </cell>
          <cell r="B673" t="str">
            <v>REDUCER COUPLER 90X63</v>
          </cell>
          <cell r="C673" t="str">
            <v>AGRI FITTING</v>
          </cell>
          <cell r="D673">
            <v>150</v>
          </cell>
        </row>
        <row r="674">
          <cell r="A674" t="str">
            <v>A-765</v>
          </cell>
          <cell r="B674" t="str">
            <v>REDUCER COUPLER 90X75</v>
          </cell>
          <cell r="C674" t="str">
            <v>AGRI FITTING</v>
          </cell>
          <cell r="D674">
            <v>166.5</v>
          </cell>
        </row>
        <row r="675">
          <cell r="A675" t="str">
            <v>A-766</v>
          </cell>
          <cell r="B675" t="str">
            <v>REDUCER COUPLER 110X63</v>
          </cell>
          <cell r="C675" t="str">
            <v>AGRI FITTING</v>
          </cell>
          <cell r="D675">
            <v>227.5</v>
          </cell>
        </row>
        <row r="676">
          <cell r="A676" t="str">
            <v>A-767</v>
          </cell>
          <cell r="B676" t="str">
            <v>REDUCER COUPLER 110X75</v>
          </cell>
          <cell r="C676" t="str">
            <v>AGRI FITTING</v>
          </cell>
          <cell r="D676">
            <v>241</v>
          </cell>
        </row>
        <row r="677">
          <cell r="A677" t="str">
            <v>A-768</v>
          </cell>
          <cell r="B677" t="str">
            <v>REDUCER COUPLER 110X90</v>
          </cell>
          <cell r="C677" t="str">
            <v>AGRI FITTING</v>
          </cell>
          <cell r="D677">
            <v>256.8</v>
          </cell>
        </row>
        <row r="678">
          <cell r="A678" t="str">
            <v>A-769</v>
          </cell>
          <cell r="B678" t="str">
            <v>REDUCER COUPLER 140X90</v>
          </cell>
          <cell r="C678" t="str">
            <v>AGRI FITTING</v>
          </cell>
          <cell r="D678">
            <v>427</v>
          </cell>
        </row>
        <row r="679">
          <cell r="A679" t="str">
            <v>A-770</v>
          </cell>
          <cell r="B679" t="str">
            <v>REDUCER COUPLER  160X110</v>
          </cell>
          <cell r="C679" t="str">
            <v>AGRI FITTING</v>
          </cell>
          <cell r="D679">
            <v>625</v>
          </cell>
        </row>
        <row r="680">
          <cell r="A680" t="str">
            <v>A-242</v>
          </cell>
          <cell r="B680" t="str">
            <v>160MM COUPLER4 KG/CM2</v>
          </cell>
          <cell r="C680" t="str">
            <v>AGRI FITTING</v>
          </cell>
          <cell r="D680">
            <v>579.4</v>
          </cell>
        </row>
        <row r="681">
          <cell r="A681" t="str">
            <v>A-243</v>
          </cell>
          <cell r="B681" t="str">
            <v>200MM COUPLER4 KG/CM2</v>
          </cell>
          <cell r="C681" t="str">
            <v>AGRI FITTING</v>
          </cell>
          <cell r="D681">
            <v>1025</v>
          </cell>
        </row>
        <row r="682">
          <cell r="A682" t="str">
            <v>A-246</v>
          </cell>
          <cell r="B682" t="str">
            <v>63MM COUPLER4 KG/CM2</v>
          </cell>
          <cell r="C682" t="str">
            <v>AGRI FITTING</v>
          </cell>
          <cell r="D682">
            <v>74</v>
          </cell>
        </row>
        <row r="683">
          <cell r="A683" t="str">
            <v>A-247</v>
          </cell>
          <cell r="B683" t="str">
            <v>75MM COUPLER4 KG/CM2</v>
          </cell>
          <cell r="C683" t="str">
            <v>AGRI FITTING</v>
          </cell>
          <cell r="D683">
            <v>106.5</v>
          </cell>
        </row>
        <row r="684">
          <cell r="A684" t="str">
            <v>A-248</v>
          </cell>
          <cell r="B684" t="str">
            <v>90MM COUPLER4 KG/CM2</v>
          </cell>
          <cell r="C684" t="str">
            <v>AGRI FITTING</v>
          </cell>
          <cell r="D684">
            <v>155</v>
          </cell>
        </row>
        <row r="685">
          <cell r="A685" t="str">
            <v>A-249</v>
          </cell>
          <cell r="B685" t="str">
            <v>110MM COUPLER4 KG/CM2</v>
          </cell>
          <cell r="C685" t="str">
            <v>AGRI FITTING</v>
          </cell>
          <cell r="D685">
            <v>242</v>
          </cell>
        </row>
        <row r="686">
          <cell r="A686" t="str">
            <v>A-340</v>
          </cell>
          <cell r="B686" t="str">
            <v>125MM EQUAL TEE4 KG/CM2</v>
          </cell>
          <cell r="C686" t="str">
            <v>AGRI FITTING</v>
          </cell>
          <cell r="D686">
            <v>0</v>
          </cell>
        </row>
        <row r="687">
          <cell r="A687" t="str">
            <v>A-342</v>
          </cell>
          <cell r="B687" t="str">
            <v>160MM EQUAL TEE4 KG/CM2</v>
          </cell>
          <cell r="C687" t="str">
            <v>AGRI FITTING</v>
          </cell>
          <cell r="D687">
            <v>1576</v>
          </cell>
        </row>
        <row r="688">
          <cell r="A688" t="str">
            <v>A-343</v>
          </cell>
          <cell r="B688" t="str">
            <v>200MM EQUAL TEE4 KG/CM2</v>
          </cell>
          <cell r="C688" t="str">
            <v>AGRI FITTING</v>
          </cell>
          <cell r="D688">
            <v>2640</v>
          </cell>
        </row>
        <row r="689">
          <cell r="A689" t="str">
            <v>A-346</v>
          </cell>
          <cell r="B689" t="str">
            <v>63MM EQUAL TEE4 KG/CM2</v>
          </cell>
          <cell r="C689" t="str">
            <v>AGRI FITTING</v>
          </cell>
          <cell r="D689">
            <v>181</v>
          </cell>
        </row>
        <row r="690">
          <cell r="A690" t="str">
            <v>A-347</v>
          </cell>
          <cell r="B690" t="str">
            <v>75MM EQUAL TEE4 KG/CM2</v>
          </cell>
          <cell r="C690" t="str">
            <v>AGRI FITTING</v>
          </cell>
          <cell r="D690">
            <v>267.39999999999998</v>
          </cell>
        </row>
        <row r="691">
          <cell r="A691" t="str">
            <v>A-348</v>
          </cell>
          <cell r="B691" t="str">
            <v>90MM EQUAL TEE4 KG/CM2</v>
          </cell>
          <cell r="C691" t="str">
            <v>AGRI FITTING</v>
          </cell>
          <cell r="D691">
            <v>397</v>
          </cell>
        </row>
        <row r="692">
          <cell r="A692" t="str">
            <v>A-349</v>
          </cell>
          <cell r="B692" t="str">
            <v>110MM EQUAL TEE4 KG/CM2</v>
          </cell>
          <cell r="C692" t="str">
            <v>AGRI FITTING</v>
          </cell>
          <cell r="D692">
            <v>621.20000000000005</v>
          </cell>
        </row>
        <row r="693">
          <cell r="A693" t="str">
            <v>A-442</v>
          </cell>
          <cell r="B693" t="str">
            <v>160MM ELBOW 4 KG/CM2</v>
          </cell>
          <cell r="C693" t="str">
            <v>AGRI FITTING</v>
          </cell>
          <cell r="D693">
            <v>1275</v>
          </cell>
        </row>
        <row r="694">
          <cell r="A694" t="str">
            <v>A-443</v>
          </cell>
          <cell r="B694" t="str">
            <v>200MM ELBOW 4 KG/CM2</v>
          </cell>
          <cell r="C694" t="str">
            <v>AGRI FITTING</v>
          </cell>
          <cell r="D694">
            <v>1831</v>
          </cell>
        </row>
        <row r="695">
          <cell r="A695" t="str">
            <v>A-446</v>
          </cell>
          <cell r="B695" t="str">
            <v>63MM ELBOW 4 KG/CM2</v>
          </cell>
          <cell r="C695" t="str">
            <v>AGRI FITTING</v>
          </cell>
          <cell r="D695">
            <v>128.5</v>
          </cell>
        </row>
        <row r="696">
          <cell r="A696" t="str">
            <v>A-447</v>
          </cell>
          <cell r="B696" t="str">
            <v>75MM ELBOW 4 KG/CM2</v>
          </cell>
          <cell r="C696" t="str">
            <v>AGRI FITTING</v>
          </cell>
          <cell r="D696">
            <v>190</v>
          </cell>
        </row>
        <row r="697">
          <cell r="A697" t="str">
            <v>A-448</v>
          </cell>
          <cell r="B697" t="str">
            <v>90MM ELBOW 4 KG/CM2</v>
          </cell>
          <cell r="C697" t="str">
            <v>AGRI FITTING</v>
          </cell>
          <cell r="D697">
            <v>282</v>
          </cell>
        </row>
        <row r="698">
          <cell r="A698" t="str">
            <v>A-449</v>
          </cell>
          <cell r="B698" t="str">
            <v>110MM ELBOW 4 KG/CM2</v>
          </cell>
          <cell r="C698" t="str">
            <v>AGRI FITTING</v>
          </cell>
          <cell r="D698">
            <v>463</v>
          </cell>
        </row>
        <row r="699">
          <cell r="A699" t="str">
            <v>A-542</v>
          </cell>
          <cell r="B699" t="str">
            <v>160MM END CAP4 KG/CM2</v>
          </cell>
          <cell r="C699" t="str">
            <v>AGRI FITTING</v>
          </cell>
          <cell r="D699">
            <v>422</v>
          </cell>
        </row>
        <row r="700">
          <cell r="A700" t="str">
            <v>A-543</v>
          </cell>
          <cell r="B700" t="str">
            <v>200MM END CAP4 KG/CM2</v>
          </cell>
          <cell r="C700" t="str">
            <v>AGRI FITTING</v>
          </cell>
          <cell r="D700">
            <v>843</v>
          </cell>
        </row>
        <row r="701">
          <cell r="A701" t="str">
            <v>A-546</v>
          </cell>
          <cell r="B701" t="str">
            <v>63MM END CAP4 KG/CM2</v>
          </cell>
          <cell r="C701" t="str">
            <v>AGRI FITTING</v>
          </cell>
          <cell r="D701">
            <v>54</v>
          </cell>
        </row>
        <row r="702">
          <cell r="A702" t="str">
            <v>A-547</v>
          </cell>
          <cell r="B702" t="str">
            <v>75MM END CAP4 KG/CM2</v>
          </cell>
          <cell r="C702" t="str">
            <v>AGRI FITTING</v>
          </cell>
          <cell r="D702">
            <v>78</v>
          </cell>
        </row>
        <row r="703">
          <cell r="A703" t="str">
            <v>A-548</v>
          </cell>
          <cell r="B703" t="str">
            <v>90MM END CAP4 KG/CM2</v>
          </cell>
          <cell r="C703" t="str">
            <v>AGRI FITTING</v>
          </cell>
          <cell r="D703">
            <v>112.8</v>
          </cell>
        </row>
        <row r="704">
          <cell r="A704" t="str">
            <v>A-549</v>
          </cell>
          <cell r="B704" t="str">
            <v>110MM END CAP4 KG/CM2</v>
          </cell>
          <cell r="C704" t="str">
            <v>AGRI FITTING</v>
          </cell>
          <cell r="D704">
            <v>174</v>
          </cell>
        </row>
        <row r="705">
          <cell r="A705" t="str">
            <v>PS-1</v>
          </cell>
          <cell r="B705" t="str">
            <v>1/2" CPVC SDR 11 CLASS 1</v>
          </cell>
          <cell r="C705" t="str">
            <v>CPVC PIPE</v>
          </cell>
          <cell r="D705">
            <v>0.37</v>
          </cell>
        </row>
        <row r="706">
          <cell r="A706" t="str">
            <v>PS-2</v>
          </cell>
          <cell r="B706" t="str">
            <v>3/4" CPVC SDR 11 CLASS 1</v>
          </cell>
          <cell r="C706" t="str">
            <v>CPVC PIPE</v>
          </cell>
          <cell r="D706">
            <v>0.62</v>
          </cell>
        </row>
        <row r="707">
          <cell r="A707" t="str">
            <v>PS-3</v>
          </cell>
          <cell r="B707" t="str">
            <v>1" CPVC SDR 11 CLASS 1</v>
          </cell>
          <cell r="C707" t="str">
            <v>CPVC PIPE</v>
          </cell>
          <cell r="D707">
            <v>0.99</v>
          </cell>
        </row>
        <row r="708">
          <cell r="A708" t="str">
            <v>PS-4</v>
          </cell>
          <cell r="B708" t="str">
            <v>1-1/4" CPVC SDR 11 CLASS 1</v>
          </cell>
          <cell r="C708" t="str">
            <v>CPVC PIPE</v>
          </cell>
          <cell r="D708">
            <v>1.52</v>
          </cell>
        </row>
        <row r="709">
          <cell r="A709" t="str">
            <v>PS-5</v>
          </cell>
          <cell r="B709" t="str">
            <v>1-1/2" CPVC SDR 11 CLASS 1</v>
          </cell>
          <cell r="C709" t="str">
            <v>CPVC PIPE</v>
          </cell>
          <cell r="D709">
            <v>2.1</v>
          </cell>
        </row>
        <row r="710">
          <cell r="A710" t="str">
            <v>PS-6</v>
          </cell>
          <cell r="B710" t="str">
            <v>2" CPVC SDR 11 CLASS 1</v>
          </cell>
          <cell r="C710" t="str">
            <v>CPVC PIPE</v>
          </cell>
          <cell r="D710">
            <v>3.58</v>
          </cell>
        </row>
        <row r="711">
          <cell r="A711" t="str">
            <v>PS-7</v>
          </cell>
          <cell r="B711" t="str">
            <v>2-1/2" CPVC SDR 11 CLASS 1</v>
          </cell>
          <cell r="C711" t="str">
            <v>CPVC PIPE</v>
          </cell>
          <cell r="D711">
            <v>6.6</v>
          </cell>
        </row>
        <row r="712">
          <cell r="A712" t="str">
            <v>PS-8</v>
          </cell>
          <cell r="B712" t="str">
            <v>3" CPVC SDR 11 CLASS 1</v>
          </cell>
          <cell r="C712" t="str">
            <v>CPVC PIPE</v>
          </cell>
          <cell r="D712">
            <v>8.6</v>
          </cell>
        </row>
        <row r="713">
          <cell r="A713" t="str">
            <v>PS-9</v>
          </cell>
          <cell r="B713" t="str">
            <v>4" CPVC SDR 11 CLASS 1</v>
          </cell>
          <cell r="C713" t="str">
            <v>CPVC PIPE</v>
          </cell>
          <cell r="D713">
            <v>12.5</v>
          </cell>
        </row>
        <row r="714">
          <cell r="A714" t="str">
            <v>PS-10</v>
          </cell>
          <cell r="B714" t="str">
            <v>3" CPVC SDR 11 CLASS 1</v>
          </cell>
          <cell r="C714" t="str">
            <v>CPVC PIPE</v>
          </cell>
          <cell r="D714">
            <v>0</v>
          </cell>
        </row>
        <row r="715">
          <cell r="A715" t="str">
            <v>PS-11</v>
          </cell>
          <cell r="B715" t="str">
            <v>1/2" CPVC SDR 13.5 CLASS 2</v>
          </cell>
          <cell r="C715" t="str">
            <v>CPVC PIPE</v>
          </cell>
          <cell r="D715">
            <v>0.35</v>
          </cell>
        </row>
        <row r="716">
          <cell r="A716" t="str">
            <v>PS-12</v>
          </cell>
          <cell r="B716" t="str">
            <v>3/4" CPVC SDR 13.5 CLASS 2</v>
          </cell>
          <cell r="C716" t="str">
            <v>CPVC PIPE</v>
          </cell>
          <cell r="D716">
            <v>0.52</v>
          </cell>
        </row>
        <row r="717">
          <cell r="A717" t="str">
            <v>PS-13</v>
          </cell>
          <cell r="B717" t="str">
            <v>1" CPVC SDR 13.5 CLASS 2</v>
          </cell>
          <cell r="C717" t="str">
            <v>CPVC PIPE</v>
          </cell>
          <cell r="D717">
            <v>0.8</v>
          </cell>
        </row>
        <row r="718">
          <cell r="A718" t="str">
            <v>PS-14</v>
          </cell>
          <cell r="B718" t="str">
            <v>1-1/4" CPVC SDR 13.5 CLASS 2</v>
          </cell>
          <cell r="C718" t="str">
            <v>CPVC PIPE</v>
          </cell>
          <cell r="D718">
            <v>1.25</v>
          </cell>
        </row>
        <row r="719">
          <cell r="A719" t="str">
            <v>PS-15</v>
          </cell>
          <cell r="B719" t="str">
            <v>1-1/2" CPVC SDR 13.5 CLASS 2</v>
          </cell>
          <cell r="C719" t="str">
            <v>CPVC PIPE</v>
          </cell>
          <cell r="D719">
            <v>1.75</v>
          </cell>
        </row>
        <row r="720">
          <cell r="A720" t="str">
            <v>PS-16</v>
          </cell>
          <cell r="B720" t="str">
            <v>2" CPVC SDR 13.5 CLASS 2</v>
          </cell>
          <cell r="C720" t="str">
            <v>CPVC PIPE</v>
          </cell>
          <cell r="D720">
            <v>3</v>
          </cell>
        </row>
        <row r="721">
          <cell r="A721" t="str">
            <v>PS-17</v>
          </cell>
          <cell r="B721" t="str">
            <v>2-1/2" CPVC SDR 13.5 CLASS 2</v>
          </cell>
          <cell r="C721" t="str">
            <v>CPVC PIPE</v>
          </cell>
          <cell r="D721">
            <v>4.7</v>
          </cell>
        </row>
        <row r="722">
          <cell r="A722" t="str">
            <v>PS-18</v>
          </cell>
          <cell r="B722" t="str">
            <v>3" CPVC SDR 13.5 CLASS 2</v>
          </cell>
          <cell r="C722" t="str">
            <v>CPVC PIPE</v>
          </cell>
          <cell r="D722">
            <v>6.6</v>
          </cell>
        </row>
        <row r="723">
          <cell r="A723" t="str">
            <v>PS-19</v>
          </cell>
          <cell r="B723" t="str">
            <v>4" CPVC SDR 13.5 CLASS 2</v>
          </cell>
          <cell r="C723" t="str">
            <v>CPVC PIPE</v>
          </cell>
          <cell r="D723">
            <v>9.8000000000000007</v>
          </cell>
        </row>
        <row r="724">
          <cell r="A724" t="str">
            <v>PS-20</v>
          </cell>
          <cell r="B724" t="str">
            <v>6" CPVC SDR 13.5 CLASS 2</v>
          </cell>
          <cell r="C724" t="str">
            <v>CPVC PIPE</v>
          </cell>
          <cell r="D724">
            <v>0</v>
          </cell>
        </row>
        <row r="725">
          <cell r="A725" t="str">
            <v>PS-1S</v>
          </cell>
          <cell r="B725" t="str">
            <v>1/2" CPVC SDR 11 CLASS 1</v>
          </cell>
          <cell r="C725" t="str">
            <v>CPVC PIPE</v>
          </cell>
          <cell r="D725">
            <v>0.6166666666666667</v>
          </cell>
        </row>
        <row r="726">
          <cell r="A726" t="str">
            <v>PS-2S</v>
          </cell>
          <cell r="B726" t="str">
            <v>3/4" CPVC SDR 11 CLASS 1</v>
          </cell>
          <cell r="C726" t="str">
            <v>CPVC PIPE</v>
          </cell>
          <cell r="D726">
            <v>1.0333333333333332</v>
          </cell>
        </row>
        <row r="727">
          <cell r="A727" t="str">
            <v>PS-3S</v>
          </cell>
          <cell r="B727" t="str">
            <v>1" CPVC SDR 11 CLASS 1</v>
          </cell>
          <cell r="C727" t="str">
            <v>CPVC PIPE</v>
          </cell>
          <cell r="D727">
            <v>1.6500000000000001</v>
          </cell>
        </row>
        <row r="728">
          <cell r="A728" t="str">
            <v>PS-4S</v>
          </cell>
          <cell r="B728" t="str">
            <v>1-1/4" CPVC SDR 11 CLASS 1</v>
          </cell>
          <cell r="C728" t="str">
            <v>CPVC PIPE</v>
          </cell>
          <cell r="D728">
            <v>2.5333333333333337</v>
          </cell>
        </row>
        <row r="729">
          <cell r="A729" t="str">
            <v>PS-5S</v>
          </cell>
          <cell r="B729" t="str">
            <v>1-1/2" CPVC SDR 11 CLASS 1</v>
          </cell>
          <cell r="C729" t="str">
            <v>CPVC PIPE</v>
          </cell>
          <cell r="D729">
            <v>3.5000000000000004</v>
          </cell>
        </row>
        <row r="730">
          <cell r="A730" t="str">
            <v>PS-6S</v>
          </cell>
          <cell r="B730" t="str">
            <v>2" CPVC SDR 11 CLASS 1</v>
          </cell>
          <cell r="C730" t="str">
            <v>CPVC PIPE</v>
          </cell>
          <cell r="D730">
            <v>5.9666666666666668</v>
          </cell>
        </row>
        <row r="731">
          <cell r="A731" t="str">
            <v>PS-7S</v>
          </cell>
          <cell r="B731" t="str">
            <v>2" CPVC SDR 11 CLASS 1</v>
          </cell>
          <cell r="C731" t="str">
            <v>CPVC PIPE</v>
          </cell>
          <cell r="D731">
            <v>10.999999999999998</v>
          </cell>
        </row>
        <row r="732">
          <cell r="A732" t="str">
            <v>PS-8S</v>
          </cell>
          <cell r="B732" t="str">
            <v>2" CPVC SDR 11 CLASS 1</v>
          </cell>
          <cell r="C732" t="str">
            <v>CPVC PIPE</v>
          </cell>
          <cell r="D732">
            <v>14.333333333333334</v>
          </cell>
        </row>
        <row r="733">
          <cell r="A733" t="str">
            <v>PS-9S</v>
          </cell>
          <cell r="B733" t="str">
            <v>2" CPVC SDR 11 CLASS 1</v>
          </cell>
          <cell r="C733" t="str">
            <v>CPVC PIPE</v>
          </cell>
          <cell r="D733">
            <v>20.833333333333336</v>
          </cell>
        </row>
        <row r="734">
          <cell r="A734" t="str">
            <v>PS-11S</v>
          </cell>
          <cell r="B734" t="str">
            <v>1/2" CPVC SDR 13.5 CLASS 2</v>
          </cell>
          <cell r="C734" t="str">
            <v>CPVC PIPE</v>
          </cell>
          <cell r="D734">
            <v>0.58333333333333326</v>
          </cell>
        </row>
        <row r="735">
          <cell r="A735" t="str">
            <v>PS-12S</v>
          </cell>
          <cell r="B735" t="str">
            <v>3/4" CPVC SDR 13.5 CLASS 2</v>
          </cell>
          <cell r="C735" t="str">
            <v>CPVC PIPE</v>
          </cell>
          <cell r="D735">
            <v>0.8666666666666667</v>
          </cell>
        </row>
        <row r="736">
          <cell r="A736" t="str">
            <v>PS-13S</v>
          </cell>
          <cell r="B736" t="str">
            <v>1" CPVC SDR 13.5 CLASS 2</v>
          </cell>
          <cell r="C736" t="str">
            <v>CPVC PIPE</v>
          </cell>
          <cell r="D736">
            <v>1.3333333333333333</v>
          </cell>
        </row>
        <row r="737">
          <cell r="A737" t="str">
            <v>PS-14S</v>
          </cell>
          <cell r="B737" t="str">
            <v>1-1/4" CPVC SDR 13.5 CLASS 2</v>
          </cell>
          <cell r="C737" t="str">
            <v>CPVC PIPE</v>
          </cell>
          <cell r="D737">
            <v>2.0833333333333335</v>
          </cell>
        </row>
        <row r="738">
          <cell r="A738" t="str">
            <v>PS-15S</v>
          </cell>
          <cell r="B738" t="str">
            <v>1-1/2" CPVC SDR 13.5 CLASS 2</v>
          </cell>
          <cell r="C738" t="str">
            <v>CPVC PIPE</v>
          </cell>
          <cell r="D738">
            <v>2.916666666666667</v>
          </cell>
        </row>
        <row r="739">
          <cell r="A739" t="str">
            <v>PS-16S</v>
          </cell>
          <cell r="B739" t="str">
            <v>2" CPVC SDR 13.5 CLASS 2</v>
          </cell>
          <cell r="C739" t="str">
            <v>CPVC PIPE</v>
          </cell>
          <cell r="D739">
            <v>5</v>
          </cell>
        </row>
        <row r="740">
          <cell r="A740" t="str">
            <v>PS-17S</v>
          </cell>
          <cell r="B740" t="str">
            <v>2-1/2" CPVC SDR 13.5 CLASS 2</v>
          </cell>
          <cell r="C740" t="str">
            <v>CPVC PIPE</v>
          </cell>
          <cell r="D740">
            <v>7.833333333333333</v>
          </cell>
        </row>
        <row r="741">
          <cell r="A741" t="str">
            <v>PS-18S</v>
          </cell>
          <cell r="B741" t="str">
            <v>3" CPVC SDR 13.5 CLASS 2</v>
          </cell>
          <cell r="C741" t="str">
            <v>CPVC PIPE</v>
          </cell>
          <cell r="D741">
            <v>10.999999999999998</v>
          </cell>
        </row>
        <row r="742">
          <cell r="A742" t="str">
            <v>PS-19S</v>
          </cell>
          <cell r="B742" t="str">
            <v>4" CPVC SDR 13.5 CLASS 2</v>
          </cell>
          <cell r="C742" t="str">
            <v>CPVC PIPE</v>
          </cell>
          <cell r="D742">
            <v>16.333333333333336</v>
          </cell>
        </row>
        <row r="743">
          <cell r="A743" t="str">
            <v>PS-20S</v>
          </cell>
          <cell r="B743" t="str">
            <v>6" CPVC SDR 13.5 CLASS 2</v>
          </cell>
          <cell r="C743" t="str">
            <v>CPVC PIPE</v>
          </cell>
          <cell r="D743">
            <v>0</v>
          </cell>
        </row>
        <row r="744">
          <cell r="A744" t="str">
            <v>PU-1</v>
          </cell>
          <cell r="B744" t="str">
            <v>1/2" UPVC PIPE ( SCH 80 )</v>
          </cell>
          <cell r="C744" t="str">
            <v>UPVC PIPE</v>
          </cell>
          <cell r="D744">
            <v>1.1000000000000001</v>
          </cell>
        </row>
        <row r="745">
          <cell r="A745" t="str">
            <v>PU-2</v>
          </cell>
          <cell r="B745" t="str">
            <v>3/4" UPVC PIPE ( SCH 80 )</v>
          </cell>
          <cell r="C745" t="str">
            <v>UPVC PIPE</v>
          </cell>
          <cell r="D745">
            <v>1.45</v>
          </cell>
        </row>
        <row r="746">
          <cell r="A746" t="str">
            <v>PU-3</v>
          </cell>
          <cell r="B746" t="str">
            <v>1" UPVC PIPE ( SCH 80 )</v>
          </cell>
          <cell r="C746" t="str">
            <v>UPVC PIPE</v>
          </cell>
          <cell r="D746">
            <v>2.15</v>
          </cell>
        </row>
        <row r="747">
          <cell r="A747" t="str">
            <v>PU-4</v>
          </cell>
          <cell r="B747" t="str">
            <v>1-1/4" UPVC PIPE ( SCH 80 )</v>
          </cell>
          <cell r="C747" t="str">
            <v>UPVC PIPE</v>
          </cell>
          <cell r="D747">
            <v>2.87</v>
          </cell>
        </row>
        <row r="748">
          <cell r="A748" t="str">
            <v>PU-5</v>
          </cell>
          <cell r="B748" t="str">
            <v>1-1/2" UPVC PIPE ( SCH 80 )</v>
          </cell>
          <cell r="C748" t="str">
            <v>UPVC PIPE</v>
          </cell>
          <cell r="D748">
            <v>3.45</v>
          </cell>
        </row>
        <row r="749">
          <cell r="A749" t="str">
            <v>PU-6</v>
          </cell>
          <cell r="B749" t="str">
            <v>2" UPVC PIPE ( SCH 80 )</v>
          </cell>
          <cell r="C749" t="str">
            <v>UPVC PIPE</v>
          </cell>
          <cell r="D749">
            <v>4.78</v>
          </cell>
        </row>
        <row r="750">
          <cell r="A750" t="str">
            <v>PU-7</v>
          </cell>
          <cell r="B750" t="str">
            <v>2-1/2" UPVC PIPE ( SCH 80 )</v>
          </cell>
          <cell r="C750" t="str">
            <v>UPVC PIPE</v>
          </cell>
          <cell r="D750">
            <v>7.3</v>
          </cell>
        </row>
        <row r="751">
          <cell r="A751" t="str">
            <v>PU-8</v>
          </cell>
          <cell r="B751" t="str">
            <v>3" UPVC PIPE SCH 80</v>
          </cell>
          <cell r="C751" t="str">
            <v>UPVC PIPE</v>
          </cell>
          <cell r="D751">
            <v>9.5</v>
          </cell>
        </row>
        <row r="752">
          <cell r="A752" t="str">
            <v>PU-9</v>
          </cell>
          <cell r="B752" t="str">
            <v>4" UPVC PIPE SCH 80</v>
          </cell>
          <cell r="C752" t="str">
            <v>UPVC PIPE</v>
          </cell>
          <cell r="D752">
            <v>13.5</v>
          </cell>
        </row>
        <row r="753">
          <cell r="A753" t="str">
            <v>PU-10</v>
          </cell>
          <cell r="B753" t="str">
            <v>6" UPVC PIPE SCH 80</v>
          </cell>
          <cell r="C753" t="str">
            <v>UPVC PIPE</v>
          </cell>
          <cell r="D753">
            <v>0</v>
          </cell>
        </row>
        <row r="754">
          <cell r="A754" t="str">
            <v>PU-11</v>
          </cell>
          <cell r="B754" t="str">
            <v>1/2" UPVC PIPE ( SCH 40 )</v>
          </cell>
          <cell r="C754" t="str">
            <v>UPVC PIPE</v>
          </cell>
          <cell r="D754">
            <v>0.85</v>
          </cell>
        </row>
        <row r="755">
          <cell r="A755" t="str">
            <v>PU-12</v>
          </cell>
          <cell r="B755" t="str">
            <v>3/4" UPVC PIPE ( SCH 40 )</v>
          </cell>
          <cell r="C755" t="str">
            <v>UPVC PIPE</v>
          </cell>
          <cell r="D755">
            <v>1.1299999999999999</v>
          </cell>
        </row>
        <row r="756">
          <cell r="A756" t="str">
            <v>PU-13</v>
          </cell>
          <cell r="B756" t="str">
            <v>1" UPVC PIPE ( SCH 40 )</v>
          </cell>
          <cell r="C756" t="str">
            <v>UPVC PIPE</v>
          </cell>
          <cell r="D756">
            <v>1.61</v>
          </cell>
        </row>
        <row r="757">
          <cell r="A757" t="str">
            <v>PU-14</v>
          </cell>
          <cell r="B757" t="str">
            <v>1-1/4" UPVC PIPE ( SCH 40 )</v>
          </cell>
          <cell r="C757" t="str">
            <v>UPVC PIPE</v>
          </cell>
          <cell r="D757">
            <v>2.2200000000000002</v>
          </cell>
        </row>
        <row r="758">
          <cell r="A758" t="str">
            <v>PU-15</v>
          </cell>
          <cell r="B758" t="str">
            <v>1-1/2" UPVC PIPE ( SCH 40 )</v>
          </cell>
          <cell r="C758" t="str">
            <v>UPVC PIPE</v>
          </cell>
          <cell r="D758">
            <v>2.67</v>
          </cell>
        </row>
        <row r="759">
          <cell r="A759" t="str">
            <v>PU-16</v>
          </cell>
          <cell r="B759" t="str">
            <v>2" UPVC PIPE ( SCH 40 )</v>
          </cell>
          <cell r="C759" t="str">
            <v>UPVC PIPE</v>
          </cell>
          <cell r="D759">
            <v>3.57</v>
          </cell>
        </row>
        <row r="760">
          <cell r="A760" t="str">
            <v>PU-17</v>
          </cell>
          <cell r="B760" t="str">
            <v>2-1/2" UPVC PIPE ( SCH 40 )</v>
          </cell>
          <cell r="C760" t="str">
            <v>UPVC PIPE</v>
          </cell>
          <cell r="D760">
            <v>5.6</v>
          </cell>
        </row>
        <row r="761">
          <cell r="A761" t="str">
            <v>PU-18</v>
          </cell>
          <cell r="B761" t="str">
            <v>3" UPVC PIPE SCH 40</v>
          </cell>
          <cell r="C761" t="str">
            <v>UPVC PIPE</v>
          </cell>
          <cell r="D761">
            <v>6.7</v>
          </cell>
        </row>
        <row r="762">
          <cell r="A762" t="str">
            <v>PU-19</v>
          </cell>
          <cell r="B762" t="str">
            <v>4" UPVC PIPE SCH 40</v>
          </cell>
          <cell r="C762" t="str">
            <v>UPVC PIPE</v>
          </cell>
          <cell r="D762">
            <v>10.6</v>
          </cell>
        </row>
        <row r="763">
          <cell r="A763" t="str">
            <v>PU-20</v>
          </cell>
          <cell r="B763" t="str">
            <v>6" UPVC PIPE SCH 40</v>
          </cell>
          <cell r="C763" t="str">
            <v>UPVC PIPE</v>
          </cell>
          <cell r="D763">
            <v>18.5</v>
          </cell>
        </row>
        <row r="764">
          <cell r="A764" t="str">
            <v>PU-1S</v>
          </cell>
          <cell r="B764" t="str">
            <v>1/2" UPVC PIPE ( SCH 80 )</v>
          </cell>
          <cell r="C764" t="str">
            <v>UPVC PIPE</v>
          </cell>
          <cell r="D764">
            <v>2.2000000000000002</v>
          </cell>
        </row>
        <row r="765">
          <cell r="A765" t="str">
            <v>PU-2S</v>
          </cell>
          <cell r="B765" t="str">
            <v>3/4" UPVC PIPE ( SCH 80 )</v>
          </cell>
          <cell r="C765" t="str">
            <v>UPVC PIPE</v>
          </cell>
          <cell r="D765">
            <v>2.9</v>
          </cell>
        </row>
        <row r="766">
          <cell r="A766" t="str">
            <v>PU-3S</v>
          </cell>
          <cell r="B766" t="str">
            <v>1" UPVC PIPE ( SCH 80 )</v>
          </cell>
          <cell r="C766" t="str">
            <v>UPVC PIPE</v>
          </cell>
          <cell r="D766">
            <v>4.3</v>
          </cell>
        </row>
        <row r="767">
          <cell r="A767" t="str">
            <v>PU-4S</v>
          </cell>
          <cell r="B767" t="str">
            <v>1-1/4" UPVC PIPE ( SCH 80 )</v>
          </cell>
          <cell r="C767" t="str">
            <v>UPVC PIPE</v>
          </cell>
          <cell r="D767">
            <v>5.74</v>
          </cell>
        </row>
        <row r="768">
          <cell r="A768" t="str">
            <v>PU-5S</v>
          </cell>
          <cell r="B768" t="str">
            <v>1-1/2" UPVC PIPE ( SCH 80 )</v>
          </cell>
          <cell r="C768" t="str">
            <v>UPVC PIPE</v>
          </cell>
          <cell r="D768">
            <v>6.9</v>
          </cell>
        </row>
        <row r="769">
          <cell r="A769" t="str">
            <v>PU-6S</v>
          </cell>
          <cell r="B769" t="str">
            <v>2" UPVC PIPE ( SCH 80 )</v>
          </cell>
          <cell r="C769" t="str">
            <v>UPVC PIPE</v>
          </cell>
          <cell r="D769">
            <v>9.56</v>
          </cell>
        </row>
        <row r="770">
          <cell r="A770" t="str">
            <v>PU-7S</v>
          </cell>
          <cell r="B770" t="str">
            <v>2-1/2" UPVC PIPE ( SCH 40 )</v>
          </cell>
          <cell r="C770" t="str">
            <v>UPVC PIPE</v>
          </cell>
          <cell r="D770">
            <v>14.599999999999998</v>
          </cell>
        </row>
        <row r="771">
          <cell r="A771" t="str">
            <v>PU-8S</v>
          </cell>
          <cell r="B771" t="str">
            <v>3" UPVC PIPE SCH 80</v>
          </cell>
          <cell r="C771" t="str">
            <v>UPVC PIPE</v>
          </cell>
          <cell r="D771">
            <v>19</v>
          </cell>
        </row>
        <row r="772">
          <cell r="A772" t="str">
            <v>PU-9S</v>
          </cell>
          <cell r="B772" t="str">
            <v>4" UPVC PIPE SCH 80</v>
          </cell>
          <cell r="C772" t="str">
            <v>UPVC PIPE</v>
          </cell>
          <cell r="D772">
            <v>27</v>
          </cell>
        </row>
        <row r="773">
          <cell r="A773" t="str">
            <v>PU-11S</v>
          </cell>
          <cell r="B773" t="str">
            <v>1/2" UPVC PIPE ( SCH 40 )</v>
          </cell>
          <cell r="C773" t="str">
            <v>UPVC PIPE</v>
          </cell>
          <cell r="D773">
            <v>1.7</v>
          </cell>
        </row>
        <row r="774">
          <cell r="A774" t="str">
            <v>PU-12S</v>
          </cell>
          <cell r="B774" t="str">
            <v>3/4" UPVC PIPE ( SCH 40 )</v>
          </cell>
          <cell r="C774" t="str">
            <v>UPVC PIPE</v>
          </cell>
          <cell r="D774">
            <v>2.2599999999999998</v>
          </cell>
        </row>
        <row r="775">
          <cell r="A775" t="str">
            <v>PU-13S</v>
          </cell>
          <cell r="B775" t="str">
            <v>1" UPVC PIPE ( SCH 40 )</v>
          </cell>
          <cell r="C775" t="str">
            <v>UPVC PIPE</v>
          </cell>
          <cell r="D775">
            <v>3.2200000000000006</v>
          </cell>
        </row>
        <row r="776">
          <cell r="A776" t="str">
            <v>PU-14S</v>
          </cell>
          <cell r="B776" t="str">
            <v>1-1/4" UPVC PIPE ( SCH 40 )</v>
          </cell>
          <cell r="C776" t="str">
            <v>UPVC PIPE</v>
          </cell>
          <cell r="D776">
            <v>4.4400000000000004</v>
          </cell>
        </row>
        <row r="777">
          <cell r="A777" t="str">
            <v>PU-15S</v>
          </cell>
          <cell r="B777" t="str">
            <v>1-1/2" UPVC PIPE ( SCH 40 )</v>
          </cell>
          <cell r="C777" t="str">
            <v>UPVC PIPE</v>
          </cell>
          <cell r="D777">
            <v>5.34</v>
          </cell>
        </row>
        <row r="778">
          <cell r="A778" t="str">
            <v>PU-16S</v>
          </cell>
          <cell r="B778" t="str">
            <v>2" UPVC PIPE ( SCH 40 )</v>
          </cell>
          <cell r="C778" t="str">
            <v>UPVC PIPE</v>
          </cell>
          <cell r="D778">
            <v>7.14</v>
          </cell>
        </row>
        <row r="779">
          <cell r="A779" t="str">
            <v>PU-17S</v>
          </cell>
          <cell r="B779" t="str">
            <v>2" UPVC PIPE ( SCH 40 )</v>
          </cell>
          <cell r="C779" t="str">
            <v>UPVC PIPE</v>
          </cell>
          <cell r="D779">
            <v>11.2</v>
          </cell>
        </row>
        <row r="780">
          <cell r="A780" t="str">
            <v>PU-18S</v>
          </cell>
          <cell r="B780" t="str">
            <v>3" UPVC PIPE ( SCH 40 )</v>
          </cell>
          <cell r="C780" t="str">
            <v>UPVC PIPE</v>
          </cell>
          <cell r="D780">
            <v>13.4</v>
          </cell>
        </row>
        <row r="781">
          <cell r="A781" t="str">
            <v>PU-19S</v>
          </cell>
          <cell r="B781" t="str">
            <v>4" UPVC PIPE ( SCH 40 )</v>
          </cell>
          <cell r="C781" t="str">
            <v>UPVC PIPE</v>
          </cell>
          <cell r="D781">
            <v>19.399999999999999</v>
          </cell>
        </row>
        <row r="782">
          <cell r="A782" t="str">
            <v>PU-1T</v>
          </cell>
          <cell r="B782" t="str">
            <v>1/2" UPVC PIPE ( SCH 80 )</v>
          </cell>
          <cell r="C782" t="str">
            <v>UPVC PIPE</v>
          </cell>
          <cell r="D782">
            <v>1.1000000000000001</v>
          </cell>
        </row>
        <row r="783">
          <cell r="A783" t="str">
            <v>PU-2T</v>
          </cell>
          <cell r="B783" t="str">
            <v>3/4" UPVC PIPE ( SCH 80 )</v>
          </cell>
          <cell r="C783" t="str">
            <v>UPVC PIPE</v>
          </cell>
          <cell r="D783">
            <v>1.45</v>
          </cell>
        </row>
        <row r="784">
          <cell r="A784" t="str">
            <v>PU-3T</v>
          </cell>
          <cell r="B784" t="str">
            <v>1" UPVC PIPE ( SCH 80 )</v>
          </cell>
          <cell r="C784" t="str">
            <v>UPVC PIPE</v>
          </cell>
          <cell r="D784">
            <v>2.15</v>
          </cell>
        </row>
        <row r="785">
          <cell r="A785" t="str">
            <v>PU-4T</v>
          </cell>
          <cell r="B785" t="str">
            <v>1-1/4" UPVC PIPE ( SCH 80 )</v>
          </cell>
          <cell r="C785" t="str">
            <v>UPVC PIPE</v>
          </cell>
          <cell r="D785">
            <v>2.87</v>
          </cell>
        </row>
        <row r="786">
          <cell r="A786" t="str">
            <v>PU-5T</v>
          </cell>
          <cell r="B786" t="str">
            <v>1-1/2" UPVC PIPE ( SCH 80 )</v>
          </cell>
          <cell r="C786" t="str">
            <v>UPVC PIPE</v>
          </cell>
          <cell r="D786">
            <v>3.45</v>
          </cell>
        </row>
        <row r="787">
          <cell r="A787" t="str">
            <v>PU-6T</v>
          </cell>
          <cell r="B787" t="str">
            <v>2" UPVC PIPE ( SCH 80 )</v>
          </cell>
          <cell r="C787" t="str">
            <v>UPVC PIPE</v>
          </cell>
          <cell r="D787">
            <v>4.78</v>
          </cell>
        </row>
        <row r="788">
          <cell r="A788" t="str">
            <v>PU-1TS</v>
          </cell>
          <cell r="B788" t="str">
            <v>1/2" UPVC PIPE (SCH 80)</v>
          </cell>
          <cell r="C788" t="str">
            <v>UPVC PIPE</v>
          </cell>
          <cell r="D788">
            <v>2.2000000000000002</v>
          </cell>
        </row>
        <row r="789">
          <cell r="A789" t="str">
            <v>PU-2TS</v>
          </cell>
          <cell r="B789" t="str">
            <v>3/4" UPVC PIPE (SCH 80)</v>
          </cell>
          <cell r="C789" t="str">
            <v>UPVC PIPE</v>
          </cell>
          <cell r="D789">
            <v>2.9</v>
          </cell>
        </row>
        <row r="790">
          <cell r="A790" t="str">
            <v>PU-3TS</v>
          </cell>
          <cell r="B790" t="str">
            <v>1" UPVC PIPE (SCH 80)</v>
          </cell>
          <cell r="C790" t="str">
            <v>UPVC PIPE</v>
          </cell>
          <cell r="D790">
            <v>4.3</v>
          </cell>
        </row>
        <row r="791">
          <cell r="A791" t="str">
            <v>PU-4TS</v>
          </cell>
          <cell r="B791" t="str">
            <v>1-1/4" UPVC PIPE (SCH 80)</v>
          </cell>
          <cell r="C791" t="str">
            <v>UPVC PIPE</v>
          </cell>
          <cell r="D791">
            <v>5.74</v>
          </cell>
        </row>
        <row r="792">
          <cell r="A792" t="str">
            <v>PU-5TS</v>
          </cell>
          <cell r="B792" t="str">
            <v>1-1/2" UPVC PIPE (SCH 80)</v>
          </cell>
          <cell r="C792" t="str">
            <v>UPVC PIPE</v>
          </cell>
          <cell r="D792">
            <v>6.9</v>
          </cell>
        </row>
        <row r="793">
          <cell r="A793" t="str">
            <v>PU-6TS</v>
          </cell>
          <cell r="B793" t="str">
            <v>2" UPVC PIPE (SCH 80)</v>
          </cell>
          <cell r="C793" t="str">
            <v>UPVC PIPE</v>
          </cell>
          <cell r="D793">
            <v>9.56</v>
          </cell>
        </row>
        <row r="794">
          <cell r="A794" t="str">
            <v>PW71</v>
          </cell>
          <cell r="B794" t="str">
            <v>SWR PIPE S/S  75 MM (3 METER-A)</v>
          </cell>
          <cell r="C794" t="str">
            <v>SWR PIPE</v>
          </cell>
          <cell r="D794">
            <v>2.4</v>
          </cell>
        </row>
        <row r="795">
          <cell r="A795" t="str">
            <v>PW72</v>
          </cell>
          <cell r="B795" t="str">
            <v>SWR PIPE D/S  75 MM (3 METER-A)</v>
          </cell>
          <cell r="C795" t="str">
            <v>SWR PIPE</v>
          </cell>
          <cell r="D795">
            <v>2.4</v>
          </cell>
        </row>
        <row r="796">
          <cell r="A796" t="str">
            <v>PW73</v>
          </cell>
          <cell r="B796" t="str">
            <v>SWR PIPE S/S  75 MM (6 METER-A)</v>
          </cell>
          <cell r="C796" t="str">
            <v>SWR PIPE</v>
          </cell>
          <cell r="D796">
            <v>4.7</v>
          </cell>
        </row>
        <row r="797">
          <cell r="A797" t="str">
            <v>PW74</v>
          </cell>
          <cell r="B797" t="str">
            <v>SWR PIPE D/S  75 MM (6 METER-A)</v>
          </cell>
          <cell r="C797" t="str">
            <v>SWR PIPE</v>
          </cell>
          <cell r="D797">
            <v>4.7</v>
          </cell>
        </row>
        <row r="798">
          <cell r="A798" t="str">
            <v>PW75</v>
          </cell>
          <cell r="B798" t="str">
            <v>SWR PIPE D/S  75 MM (2 FEET-A)</v>
          </cell>
          <cell r="C798" t="str">
            <v>SWR PIPE</v>
          </cell>
          <cell r="D798">
            <v>0.48</v>
          </cell>
        </row>
        <row r="799">
          <cell r="A799" t="str">
            <v>PW76</v>
          </cell>
          <cell r="B799" t="str">
            <v>SWR PIPE D/S  75 MM (3 FEET-A)</v>
          </cell>
          <cell r="C799" t="str">
            <v>SWR PIPE</v>
          </cell>
          <cell r="D799">
            <v>0.72</v>
          </cell>
        </row>
        <row r="800">
          <cell r="A800" t="str">
            <v>PW77</v>
          </cell>
          <cell r="B800" t="str">
            <v>SWR PIPE D/S  75 MM (4 FEET-A)</v>
          </cell>
          <cell r="C800" t="str">
            <v>SWR PIPE</v>
          </cell>
          <cell r="D800">
            <v>0.96</v>
          </cell>
        </row>
        <row r="801">
          <cell r="A801" t="str">
            <v>PW78</v>
          </cell>
          <cell r="B801" t="str">
            <v>SWR PIPE D/S  75 MM (6 FEET-A)</v>
          </cell>
          <cell r="C801" t="str">
            <v>SWR PIPE</v>
          </cell>
          <cell r="D801">
            <v>1.44</v>
          </cell>
        </row>
        <row r="802">
          <cell r="A802" t="str">
            <v>PW79</v>
          </cell>
          <cell r="B802" t="str">
            <v>SWR PIPE S/S  75 MM (6 FEET-A)</v>
          </cell>
          <cell r="C802" t="str">
            <v>SWR PIPE</v>
          </cell>
          <cell r="D802">
            <v>1.44</v>
          </cell>
        </row>
        <row r="803">
          <cell r="A803" t="str">
            <v>PW91</v>
          </cell>
          <cell r="B803" t="str">
            <v>SWR PIPE S/S  90 MM (3 METER-A)</v>
          </cell>
          <cell r="C803" t="str">
            <v>SWR PIPE</v>
          </cell>
          <cell r="D803">
            <v>2.6</v>
          </cell>
        </row>
        <row r="804">
          <cell r="A804" t="str">
            <v>PW92</v>
          </cell>
          <cell r="B804" t="str">
            <v>SWR PIPE D/S  90 MM (3 METER-A)</v>
          </cell>
          <cell r="C804" t="str">
            <v>SWR PIPE</v>
          </cell>
          <cell r="D804">
            <v>2.6</v>
          </cell>
        </row>
        <row r="805">
          <cell r="A805" t="str">
            <v>PW93</v>
          </cell>
          <cell r="B805" t="str">
            <v>SWR PIPE S/S  90 MM (6 METER-A)</v>
          </cell>
          <cell r="C805" t="str">
            <v>SWR PIPE</v>
          </cell>
          <cell r="D805">
            <v>5.0999999999999996</v>
          </cell>
        </row>
        <row r="806">
          <cell r="A806" t="str">
            <v>PW94</v>
          </cell>
          <cell r="B806" t="str">
            <v>SWR PIPE D/S  90 MM (6 METER-A)</v>
          </cell>
          <cell r="C806" t="str">
            <v>SWR PIPE</v>
          </cell>
          <cell r="D806">
            <v>5.0999999999999996</v>
          </cell>
        </row>
        <row r="807">
          <cell r="A807" t="str">
            <v>PW95</v>
          </cell>
          <cell r="B807" t="str">
            <v>SWR PIPE D/S  90 MM (2 FEET-A)</v>
          </cell>
          <cell r="C807" t="str">
            <v>SWR PIPE</v>
          </cell>
          <cell r="D807">
            <v>0.52</v>
          </cell>
        </row>
        <row r="808">
          <cell r="A808" t="str">
            <v>PW96</v>
          </cell>
          <cell r="B808" t="str">
            <v>SWR PIPE D/S  90 MM (3 FEET-A)</v>
          </cell>
          <cell r="C808" t="str">
            <v>SWR PIPE</v>
          </cell>
          <cell r="D808">
            <v>0.78</v>
          </cell>
        </row>
        <row r="809">
          <cell r="A809" t="str">
            <v>PW97</v>
          </cell>
          <cell r="B809" t="str">
            <v>SWR PIPE D/S  90 MM (4 FEET-A)</v>
          </cell>
          <cell r="C809" t="str">
            <v>SWR PIPE</v>
          </cell>
          <cell r="D809">
            <v>1.04</v>
          </cell>
        </row>
        <row r="810">
          <cell r="A810" t="str">
            <v>PW98</v>
          </cell>
          <cell r="B810" t="str">
            <v>SWR PIPE D/S  90 MM (6 FEET-A)</v>
          </cell>
          <cell r="C810" t="str">
            <v>SWR PIPE</v>
          </cell>
          <cell r="D810">
            <v>1.56</v>
          </cell>
        </row>
        <row r="811">
          <cell r="A811" t="str">
            <v>PW99</v>
          </cell>
          <cell r="B811" t="str">
            <v>SWR PIPE S/S  90 MM (6 FEET-A)</v>
          </cell>
          <cell r="C811" t="str">
            <v>SWR PIPE</v>
          </cell>
          <cell r="D811">
            <v>1.56</v>
          </cell>
        </row>
        <row r="812">
          <cell r="A812" t="str">
            <v>PW11</v>
          </cell>
          <cell r="B812" t="str">
            <v>SWR PIPE S/S  110 MM (3 METER-A)</v>
          </cell>
          <cell r="C812" t="str">
            <v>SWR PIPE</v>
          </cell>
          <cell r="D812">
            <v>3.8</v>
          </cell>
        </row>
        <row r="813">
          <cell r="A813" t="str">
            <v>PW12</v>
          </cell>
          <cell r="B813" t="str">
            <v>SWR PIPE D/S  110 MM (3 METER-A)</v>
          </cell>
          <cell r="C813" t="str">
            <v>SWR PIPE</v>
          </cell>
          <cell r="D813">
            <v>3.8</v>
          </cell>
        </row>
        <row r="814">
          <cell r="A814" t="str">
            <v>PW13</v>
          </cell>
          <cell r="B814" t="str">
            <v>SWR PIPE S/S  110 MM (6 METER-A)</v>
          </cell>
          <cell r="C814" t="str">
            <v>SWR PIPE</v>
          </cell>
          <cell r="D814">
            <v>7.5</v>
          </cell>
        </row>
        <row r="815">
          <cell r="A815" t="str">
            <v>PW14</v>
          </cell>
          <cell r="B815" t="str">
            <v>SWR PIPE D/S  110 MM (6 METER-A)</v>
          </cell>
          <cell r="C815" t="str">
            <v>SWR PIPE</v>
          </cell>
          <cell r="D815">
            <v>7.5</v>
          </cell>
        </row>
        <row r="816">
          <cell r="A816" t="str">
            <v>PW15</v>
          </cell>
          <cell r="B816" t="str">
            <v>SWR PIPE D/S  110 MM (2 FEET-A)</v>
          </cell>
          <cell r="C816" t="str">
            <v>SWR PIPE</v>
          </cell>
          <cell r="D816">
            <v>0.76</v>
          </cell>
        </row>
        <row r="817">
          <cell r="A817" t="str">
            <v>PW16</v>
          </cell>
          <cell r="B817" t="str">
            <v>SWR PIPE D/S  110 MM (3 FEET-A)</v>
          </cell>
          <cell r="C817" t="str">
            <v>SWR PIPE</v>
          </cell>
          <cell r="D817">
            <v>1.1400000000000001</v>
          </cell>
        </row>
        <row r="818">
          <cell r="A818" t="str">
            <v>PW17</v>
          </cell>
          <cell r="B818" t="str">
            <v>SWR PIPE D/S  110 MM (4 FEET-A)</v>
          </cell>
          <cell r="C818" t="str">
            <v>SWR PIPE</v>
          </cell>
          <cell r="D818">
            <v>1.52</v>
          </cell>
        </row>
        <row r="819">
          <cell r="A819" t="str">
            <v>PW18</v>
          </cell>
          <cell r="B819" t="str">
            <v>SWR PIPE D/S  110 MM (6 FEET-A)</v>
          </cell>
          <cell r="C819" t="str">
            <v>SWR PIPE</v>
          </cell>
          <cell r="D819">
            <v>2.2800000000000002</v>
          </cell>
        </row>
        <row r="820">
          <cell r="A820" t="str">
            <v>PW19</v>
          </cell>
          <cell r="B820" t="str">
            <v>SWR PIPE S/S  110 MM (6 FEET-A)</v>
          </cell>
          <cell r="C820" t="str">
            <v>SWR PIPE</v>
          </cell>
          <cell r="D820">
            <v>2.2800000000000002</v>
          </cell>
        </row>
        <row r="821">
          <cell r="A821" t="str">
            <v>PW61</v>
          </cell>
          <cell r="B821" t="str">
            <v>SWR PIPE S/S  160 MM (3 METER-A)</v>
          </cell>
          <cell r="C821" t="str">
            <v>SWR PIPE</v>
          </cell>
          <cell r="D821">
            <v>7.6</v>
          </cell>
        </row>
        <row r="822">
          <cell r="A822" t="str">
            <v>PW62</v>
          </cell>
          <cell r="B822" t="str">
            <v>SWR PIPE D/S  160 MM (3 METER-A)</v>
          </cell>
          <cell r="C822" t="str">
            <v>SWR PIPE</v>
          </cell>
          <cell r="D822">
            <v>7.6</v>
          </cell>
        </row>
        <row r="823">
          <cell r="A823" t="str">
            <v>PW63</v>
          </cell>
          <cell r="B823" t="str">
            <v>SWR PIPE S/S  160 MM (6 METER-A)</v>
          </cell>
          <cell r="C823" t="str">
            <v>SWR PIPE</v>
          </cell>
          <cell r="D823">
            <v>15.1</v>
          </cell>
        </row>
        <row r="824">
          <cell r="A824" t="str">
            <v>PW64</v>
          </cell>
          <cell r="B824" t="str">
            <v>SWR PIPE D/S  160 MM (6 METER-A)</v>
          </cell>
          <cell r="C824" t="str">
            <v>SWR PIPE</v>
          </cell>
          <cell r="D824">
            <v>15.1</v>
          </cell>
        </row>
        <row r="825">
          <cell r="A825" t="str">
            <v>PW65</v>
          </cell>
          <cell r="B825" t="str">
            <v>SWR PIPE D/S  160 MM (2 FEET-A)</v>
          </cell>
          <cell r="C825" t="str">
            <v>SWR PIPE</v>
          </cell>
          <cell r="D825">
            <v>1.52</v>
          </cell>
        </row>
        <row r="826">
          <cell r="A826" t="str">
            <v>PW66</v>
          </cell>
          <cell r="B826" t="str">
            <v>SWR PIPE D/S  160 MM (3 FEET-A)</v>
          </cell>
          <cell r="C826" t="str">
            <v>SWR PIPE</v>
          </cell>
          <cell r="D826">
            <v>2.2800000000000002</v>
          </cell>
        </row>
        <row r="827">
          <cell r="A827" t="str">
            <v>PW67</v>
          </cell>
          <cell r="B827" t="str">
            <v>SWR PIPE D/S  160 MM (4 FEET-A)</v>
          </cell>
          <cell r="C827" t="str">
            <v>SWR PIPE</v>
          </cell>
          <cell r="D827">
            <v>3.04</v>
          </cell>
        </row>
        <row r="828">
          <cell r="A828" t="str">
            <v>PW68</v>
          </cell>
          <cell r="B828" t="str">
            <v>SWR PIPE D/S  160 MM (6 FEET-A)</v>
          </cell>
          <cell r="C828" t="str">
            <v>SWR PIPE</v>
          </cell>
          <cell r="D828">
            <v>4.5600000000000005</v>
          </cell>
        </row>
        <row r="829">
          <cell r="A829" t="str">
            <v>PW69</v>
          </cell>
          <cell r="B829" t="str">
            <v>SWR PIPE S/S  160 MM (6 FEET-A)</v>
          </cell>
          <cell r="C829" t="str">
            <v>SWR PIPE</v>
          </cell>
          <cell r="D829">
            <v>4.5600000000000005</v>
          </cell>
        </row>
        <row r="830">
          <cell r="A830" t="str">
            <v>PW31</v>
          </cell>
          <cell r="B830" t="str">
            <v>SWR PIPE S/S  75 MM (3 METER-B)</v>
          </cell>
          <cell r="C830" t="str">
            <v>SWR PIPE</v>
          </cell>
          <cell r="D830">
            <v>3.6</v>
          </cell>
        </row>
        <row r="831">
          <cell r="A831" t="str">
            <v>PW32</v>
          </cell>
          <cell r="B831" t="str">
            <v>SWR PIPE D/S  75 MM (3 METER-B)</v>
          </cell>
          <cell r="C831" t="str">
            <v>SWR PIPE</v>
          </cell>
          <cell r="D831">
            <v>3.6</v>
          </cell>
        </row>
        <row r="832">
          <cell r="A832" t="str">
            <v>PW33</v>
          </cell>
          <cell r="B832" t="str">
            <v>SWR PIPE S/S  75 MM (6 METER-B)</v>
          </cell>
          <cell r="C832" t="str">
            <v>SWR PIPE</v>
          </cell>
          <cell r="D832">
            <v>7.1</v>
          </cell>
        </row>
        <row r="833">
          <cell r="A833" t="str">
            <v>PW34</v>
          </cell>
          <cell r="B833" t="str">
            <v>SWR PIPE D/S  75 MM (6 METER-B)</v>
          </cell>
          <cell r="C833" t="str">
            <v>SWR PIPE</v>
          </cell>
          <cell r="D833">
            <v>7.1</v>
          </cell>
        </row>
        <row r="834">
          <cell r="A834" t="str">
            <v>PW35</v>
          </cell>
          <cell r="B834" t="str">
            <v>SWR PIPE D/S  75 MM (2 FEET-B)</v>
          </cell>
          <cell r="C834" t="str">
            <v>SWR PIPE</v>
          </cell>
          <cell r="D834">
            <v>0.72</v>
          </cell>
        </row>
        <row r="835">
          <cell r="A835" t="str">
            <v>PW36</v>
          </cell>
          <cell r="B835" t="str">
            <v>SWR PIPE D/S  75 MM (3 FEET-B)</v>
          </cell>
          <cell r="C835" t="str">
            <v>SWR PIPE</v>
          </cell>
          <cell r="D835">
            <v>1.08</v>
          </cell>
        </row>
        <row r="836">
          <cell r="A836" t="str">
            <v>PW37</v>
          </cell>
          <cell r="B836" t="str">
            <v>SWR PIPE D/S  75 MM (4 FEET-B)</v>
          </cell>
          <cell r="C836" t="str">
            <v>SWR PIPE</v>
          </cell>
          <cell r="D836">
            <v>1.44</v>
          </cell>
        </row>
        <row r="837">
          <cell r="A837" t="str">
            <v>PW38</v>
          </cell>
          <cell r="B837" t="str">
            <v>SWR PIPE D/S  75 MM (6 FEET-B)</v>
          </cell>
          <cell r="C837" t="str">
            <v>SWR PIPE</v>
          </cell>
          <cell r="D837">
            <v>2.16</v>
          </cell>
        </row>
        <row r="838">
          <cell r="A838" t="str">
            <v>PW39</v>
          </cell>
          <cell r="B838" t="str">
            <v>SWR PIPE S/S  75 MM (6 FEET-B)</v>
          </cell>
          <cell r="C838" t="str">
            <v>SWR PIPE</v>
          </cell>
          <cell r="D838">
            <v>2.16</v>
          </cell>
        </row>
        <row r="839">
          <cell r="A839" t="str">
            <v>PW81</v>
          </cell>
          <cell r="B839" t="str">
            <v>SWR PIPE S/S  90 MM (3 METER-B)</v>
          </cell>
          <cell r="C839" t="str">
            <v>SWR PIPE</v>
          </cell>
          <cell r="D839">
            <v>4.4000000000000004</v>
          </cell>
        </row>
        <row r="840">
          <cell r="A840" t="str">
            <v>PW82</v>
          </cell>
          <cell r="B840" t="str">
            <v>SWR PIPE D/S  90 MM (3 METER-B)</v>
          </cell>
          <cell r="C840" t="str">
            <v>SWR PIPE</v>
          </cell>
          <cell r="D840">
            <v>4.4000000000000004</v>
          </cell>
        </row>
        <row r="841">
          <cell r="A841" t="str">
            <v>PW83</v>
          </cell>
          <cell r="B841" t="str">
            <v>SWR PIPE S/S  90 MM (6 METER-B)</v>
          </cell>
          <cell r="C841" t="str">
            <v>SWR PIPE</v>
          </cell>
          <cell r="D841">
            <v>8.6999999999999993</v>
          </cell>
        </row>
        <row r="842">
          <cell r="A842" t="str">
            <v>PW84</v>
          </cell>
          <cell r="B842" t="str">
            <v>SWR PIPE D/S  90 MM (6 METER-B)</v>
          </cell>
          <cell r="C842" t="str">
            <v>SWR PIPE</v>
          </cell>
          <cell r="D842">
            <v>8.6999999999999993</v>
          </cell>
        </row>
        <row r="843">
          <cell r="A843" t="str">
            <v>PW85</v>
          </cell>
          <cell r="B843" t="str">
            <v>SWR PIPE D/S  90 MM (2 FEET-B)</v>
          </cell>
          <cell r="C843" t="str">
            <v>SWR PIPE</v>
          </cell>
          <cell r="D843">
            <v>0.88000000000000012</v>
          </cell>
        </row>
        <row r="844">
          <cell r="A844" t="str">
            <v>PW86</v>
          </cell>
          <cell r="B844" t="str">
            <v>SWR PIPE D/S  90 MM (3 FEET-B)</v>
          </cell>
          <cell r="C844" t="str">
            <v>SWR PIPE</v>
          </cell>
          <cell r="D844">
            <v>1.3200000000000003</v>
          </cell>
        </row>
        <row r="845">
          <cell r="A845" t="str">
            <v>PW87</v>
          </cell>
          <cell r="B845" t="str">
            <v>SWR PIPE D/S  90 MM (4 FEET-B)</v>
          </cell>
          <cell r="C845" t="str">
            <v>SWR PIPE</v>
          </cell>
          <cell r="D845">
            <v>1.7600000000000002</v>
          </cell>
        </row>
        <row r="846">
          <cell r="A846" t="str">
            <v>PW88</v>
          </cell>
          <cell r="B846" t="str">
            <v>SWR PIPE D/S  90 MM (6 FEET-B)</v>
          </cell>
          <cell r="C846" t="str">
            <v>SWR PIPE</v>
          </cell>
          <cell r="D846">
            <v>2.6400000000000006</v>
          </cell>
        </row>
        <row r="847">
          <cell r="A847" t="str">
            <v>PW89</v>
          </cell>
          <cell r="B847" t="str">
            <v>SWR PIPE S/S  90 MM (6 FEET-B)</v>
          </cell>
          <cell r="C847" t="str">
            <v>SWR PIPE</v>
          </cell>
          <cell r="D847">
            <v>2.6400000000000006</v>
          </cell>
        </row>
        <row r="848">
          <cell r="A848" t="str">
            <v>PW21</v>
          </cell>
          <cell r="B848" t="str">
            <v>SWR PIPE S/S  110 MM (3 METER-B)</v>
          </cell>
          <cell r="C848" t="str">
            <v>SWR PIPE</v>
          </cell>
          <cell r="D848">
            <v>5.2</v>
          </cell>
        </row>
        <row r="849">
          <cell r="A849" t="str">
            <v>PW22</v>
          </cell>
          <cell r="B849" t="str">
            <v>SWR PIPE D/S  110 MM (3 METER-B)</v>
          </cell>
          <cell r="C849" t="str">
            <v>SWR PIPE</v>
          </cell>
          <cell r="D849">
            <v>5.2</v>
          </cell>
        </row>
        <row r="850">
          <cell r="A850" t="str">
            <v>PW23</v>
          </cell>
          <cell r="B850" t="str">
            <v>SWR PIPE S/S  110 MM (6 METER-B)</v>
          </cell>
          <cell r="C850" t="str">
            <v>SWR PIPE</v>
          </cell>
          <cell r="D850">
            <v>10.3</v>
          </cell>
        </row>
        <row r="851">
          <cell r="A851" t="str">
            <v>PW24</v>
          </cell>
          <cell r="B851" t="str">
            <v>SWR PIPE D/S  110 MM (6 METER-B)</v>
          </cell>
          <cell r="C851" t="str">
            <v>SWR PIPE</v>
          </cell>
          <cell r="D851">
            <v>10.3</v>
          </cell>
        </row>
        <row r="852">
          <cell r="A852" t="str">
            <v>PW25</v>
          </cell>
          <cell r="B852" t="str">
            <v>SWR PIPE D/S  110 MM (2 FEET-B)</v>
          </cell>
          <cell r="C852" t="str">
            <v>SWR PIPE</v>
          </cell>
          <cell r="D852">
            <v>1.04</v>
          </cell>
        </row>
        <row r="853">
          <cell r="A853" t="str">
            <v>PW26</v>
          </cell>
          <cell r="B853" t="str">
            <v>SWR PIPE D/S  110 MM (3 FEET-B)</v>
          </cell>
          <cell r="C853" t="str">
            <v>SWR PIPE</v>
          </cell>
          <cell r="D853">
            <v>1.56</v>
          </cell>
        </row>
        <row r="854">
          <cell r="A854" t="str">
            <v>PW27</v>
          </cell>
          <cell r="B854" t="str">
            <v>SWR PIPE D/S  110 MM (4 FEET-B)</v>
          </cell>
          <cell r="C854" t="str">
            <v>SWR PIPE</v>
          </cell>
          <cell r="D854">
            <v>2.08</v>
          </cell>
        </row>
        <row r="855">
          <cell r="A855" t="str">
            <v>PW28</v>
          </cell>
          <cell r="B855" t="str">
            <v>SWR PIPE D/S  110 MM (6 FEET-B)</v>
          </cell>
          <cell r="C855" t="str">
            <v>SWR PIPE</v>
          </cell>
          <cell r="D855">
            <v>3.12</v>
          </cell>
        </row>
        <row r="856">
          <cell r="A856" t="str">
            <v>PW29</v>
          </cell>
          <cell r="B856" t="str">
            <v>SWR PIPE S/S  110 MM (6 FEET-B)</v>
          </cell>
          <cell r="C856" t="str">
            <v>SWR PIPE</v>
          </cell>
          <cell r="D856">
            <v>3.12</v>
          </cell>
        </row>
        <row r="857">
          <cell r="A857" t="str">
            <v>PW51</v>
          </cell>
          <cell r="B857" t="str">
            <v>SWR PIPE S/S  160 MM (3 METER-B)</v>
          </cell>
          <cell r="C857" t="str">
            <v>SWR PIPE</v>
          </cell>
          <cell r="D857">
            <v>9.1</v>
          </cell>
        </row>
        <row r="858">
          <cell r="A858" t="str">
            <v>PW52</v>
          </cell>
          <cell r="B858" t="str">
            <v>SWR PIPE D/S  160 MM (3 METER-B)</v>
          </cell>
          <cell r="C858" t="str">
            <v>SWR PIPE</v>
          </cell>
          <cell r="D858">
            <v>9.1</v>
          </cell>
        </row>
        <row r="859">
          <cell r="A859" t="str">
            <v>PW53</v>
          </cell>
          <cell r="B859" t="str">
            <v>SWR PIPE S/S  160 MM (6 METER-B)</v>
          </cell>
          <cell r="C859" t="str">
            <v>SWR PIPE</v>
          </cell>
          <cell r="D859">
            <v>18.100000000000001</v>
          </cell>
        </row>
        <row r="860">
          <cell r="A860" t="str">
            <v>PW54</v>
          </cell>
          <cell r="B860" t="str">
            <v>SWR PIPE D/S  160 MM (6 METER-B)</v>
          </cell>
          <cell r="C860" t="str">
            <v>SWR PIPE</v>
          </cell>
          <cell r="D860">
            <v>18.100000000000001</v>
          </cell>
        </row>
        <row r="861">
          <cell r="A861" t="str">
            <v>PW55</v>
          </cell>
          <cell r="B861" t="str">
            <v>SWR PIPE D/S  160 MM (2 FEET-B)</v>
          </cell>
          <cell r="C861" t="str">
            <v>SWR PIPE</v>
          </cell>
          <cell r="D861">
            <v>1.8199999999999998</v>
          </cell>
        </row>
        <row r="862">
          <cell r="A862" t="str">
            <v>PW56</v>
          </cell>
          <cell r="B862" t="str">
            <v>SWR PIPE D/S  160 MM (3 FEET-B)</v>
          </cell>
          <cell r="C862" t="str">
            <v>SWR PIPE</v>
          </cell>
          <cell r="D862">
            <v>2.7299999999999995</v>
          </cell>
        </row>
        <row r="863">
          <cell r="A863" t="str">
            <v>PW57</v>
          </cell>
          <cell r="B863" t="str">
            <v>SWR PIPE D/S  160 MM (4 FEET-B)</v>
          </cell>
          <cell r="C863" t="str">
            <v>SWR PIPE</v>
          </cell>
          <cell r="D863">
            <v>3.6399999999999997</v>
          </cell>
        </row>
        <row r="864">
          <cell r="A864" t="str">
            <v>PW58</v>
          </cell>
          <cell r="B864" t="str">
            <v>SWR PIPE D/S  160 MM (6 FEET-B)</v>
          </cell>
          <cell r="C864" t="str">
            <v>SWR PIPE</v>
          </cell>
          <cell r="D864">
            <v>5.4599999999999991</v>
          </cell>
        </row>
        <row r="865">
          <cell r="A865" t="str">
            <v>PW59</v>
          </cell>
          <cell r="B865" t="str">
            <v>SWR PIPE S/S  160 MM (6 FEET-B)</v>
          </cell>
          <cell r="C865" t="str">
            <v>SWR PIPE</v>
          </cell>
          <cell r="D865">
            <v>5.4599999999999991</v>
          </cell>
        </row>
        <row r="866">
          <cell r="A866" t="str">
            <v>PW71S</v>
          </cell>
          <cell r="B866" t="str">
            <v>SWR PIPE TYPE A SELF FIT 75 MM S/S 3 METER</v>
          </cell>
          <cell r="C866" t="str">
            <v>SWR PIPE</v>
          </cell>
          <cell r="D866">
            <v>2.4</v>
          </cell>
        </row>
        <row r="867">
          <cell r="A867" t="str">
            <v>PW72S</v>
          </cell>
          <cell r="B867" t="str">
            <v>SWR PIPE TYPE A SELF FIT 75 MM D/S 3 METER</v>
          </cell>
          <cell r="C867" t="str">
            <v>SWR PIPE</v>
          </cell>
          <cell r="D867">
            <v>2.4</v>
          </cell>
        </row>
        <row r="868">
          <cell r="A868" t="str">
            <v>PW73S</v>
          </cell>
          <cell r="B868" t="str">
            <v>SWR PIPE TYPE A SELF FIT 75 MM S/S 6 METER</v>
          </cell>
          <cell r="C868" t="str">
            <v>SWR PIPE</v>
          </cell>
          <cell r="D868">
            <v>4.7</v>
          </cell>
        </row>
        <row r="869">
          <cell r="A869" t="str">
            <v>PW74S</v>
          </cell>
          <cell r="B869" t="str">
            <v>SWR PIPE TYPE A SELF FIT 75 MM D/S 6 METER</v>
          </cell>
          <cell r="C869" t="str">
            <v>SWR PIPE</v>
          </cell>
          <cell r="D869">
            <v>4.7</v>
          </cell>
        </row>
        <row r="870">
          <cell r="A870" t="str">
            <v>PW75S</v>
          </cell>
          <cell r="B870" t="str">
            <v xml:space="preserve">SWR PIPE TYPE A SELF FIT 75 MM D/S 2 FEET </v>
          </cell>
          <cell r="C870" t="str">
            <v>SWR PIPE</v>
          </cell>
          <cell r="D870">
            <v>0.48</v>
          </cell>
        </row>
        <row r="871">
          <cell r="A871" t="str">
            <v>PW76S</v>
          </cell>
          <cell r="B871" t="str">
            <v xml:space="preserve">SWR PIPE TYPE A SELF FIT 75 MM D/S 3 FEET </v>
          </cell>
          <cell r="C871" t="str">
            <v>SWR PIPE</v>
          </cell>
          <cell r="D871">
            <v>0.72</v>
          </cell>
        </row>
        <row r="872">
          <cell r="A872" t="str">
            <v>PW77S</v>
          </cell>
          <cell r="B872" t="str">
            <v xml:space="preserve">SWR PIPE TYPE A SELF FIT 75 MM D/S 4 FEET </v>
          </cell>
          <cell r="C872" t="str">
            <v>SWR PIPE</v>
          </cell>
          <cell r="D872">
            <v>0.96</v>
          </cell>
        </row>
        <row r="873">
          <cell r="A873" t="str">
            <v>PW78S</v>
          </cell>
          <cell r="B873" t="str">
            <v xml:space="preserve">SWR PIPE TYPE A SELF FIT 75 MM D/S 6 FEET </v>
          </cell>
          <cell r="C873" t="str">
            <v>SWR PIPE</v>
          </cell>
          <cell r="D873">
            <v>1.44</v>
          </cell>
        </row>
        <row r="874">
          <cell r="A874" t="str">
            <v>PW79S</v>
          </cell>
          <cell r="B874" t="str">
            <v xml:space="preserve">SWR PIPE TYPE A SELF FIT 75 MM S/S 6 FEET </v>
          </cell>
          <cell r="C874" t="str">
            <v>SWR PIPE</v>
          </cell>
          <cell r="D874">
            <v>1.44</v>
          </cell>
        </row>
        <row r="875">
          <cell r="A875" t="str">
            <v>PW80S</v>
          </cell>
          <cell r="B875" t="str">
            <v xml:space="preserve">SWR PIPE TYPE A SELF FIT 75 MM S/S 4 FEET </v>
          </cell>
          <cell r="C875" t="str">
            <v>SWR PIPE</v>
          </cell>
          <cell r="D875">
            <v>0.96</v>
          </cell>
        </row>
        <row r="876">
          <cell r="A876" t="str">
            <v>PW91S</v>
          </cell>
          <cell r="B876" t="str">
            <v>SWR PIPE TYPE A SELF FIT 90 MM S/S 3 METER</v>
          </cell>
          <cell r="C876" t="str">
            <v>SWR PIPE</v>
          </cell>
          <cell r="D876">
            <v>2.6</v>
          </cell>
        </row>
        <row r="877">
          <cell r="A877" t="str">
            <v>PW92S</v>
          </cell>
          <cell r="B877" t="str">
            <v>SWR PIPE TYPE A SELF FIT 90 MM D/S 3 METER</v>
          </cell>
          <cell r="C877" t="str">
            <v>SWR PIPE</v>
          </cell>
          <cell r="D877">
            <v>2.6</v>
          </cell>
        </row>
        <row r="878">
          <cell r="A878" t="str">
            <v>PW93S</v>
          </cell>
          <cell r="B878" t="str">
            <v>SWR PIPE TYPE A SELF FIT 90 MM S/S 6 METER</v>
          </cell>
          <cell r="C878" t="str">
            <v>SWR PIPE</v>
          </cell>
          <cell r="D878">
            <v>5.0999999999999996</v>
          </cell>
        </row>
        <row r="879">
          <cell r="A879" t="str">
            <v>PW94S</v>
          </cell>
          <cell r="B879" t="str">
            <v>SWR PIPE TYPE A SELF FIT 90 MM D/S 6 METER</v>
          </cell>
          <cell r="C879" t="str">
            <v>SWR PIPE</v>
          </cell>
          <cell r="D879">
            <v>5.0999999999999996</v>
          </cell>
        </row>
        <row r="880">
          <cell r="A880" t="str">
            <v>PW95S</v>
          </cell>
          <cell r="B880" t="str">
            <v xml:space="preserve">SWR PIPE TYPE A SELF FIT 90 MM D/S 2 FEET </v>
          </cell>
          <cell r="C880" t="str">
            <v>SWR PIPE</v>
          </cell>
          <cell r="D880">
            <v>0.52</v>
          </cell>
        </row>
        <row r="881">
          <cell r="A881" t="str">
            <v>PW96S</v>
          </cell>
          <cell r="B881" t="str">
            <v xml:space="preserve">SWR PIPE TYPE A SELF FIT 90 MM D/S 3 FEET </v>
          </cell>
          <cell r="C881" t="str">
            <v>SWR PIPE</v>
          </cell>
          <cell r="D881">
            <v>0.78</v>
          </cell>
        </row>
        <row r="882">
          <cell r="A882" t="str">
            <v>PW97S</v>
          </cell>
          <cell r="B882" t="str">
            <v xml:space="preserve">SWR PIPE TYPE A SELF FIT 90 MM D/S 4 FEET </v>
          </cell>
          <cell r="C882" t="str">
            <v>SWR PIPE</v>
          </cell>
          <cell r="D882">
            <v>1.04</v>
          </cell>
        </row>
        <row r="883">
          <cell r="A883" t="str">
            <v>PW98S</v>
          </cell>
          <cell r="B883" t="str">
            <v xml:space="preserve">SWR PIPE TYPE A SELF FIT 90 MM D/S 6 FEET </v>
          </cell>
          <cell r="C883" t="str">
            <v>SWR PIPE</v>
          </cell>
          <cell r="D883">
            <v>1.56</v>
          </cell>
        </row>
        <row r="884">
          <cell r="A884" t="str">
            <v>PW99S</v>
          </cell>
          <cell r="B884" t="str">
            <v xml:space="preserve">SWR PIPE TYPE A SELF FIT 90 MM S/S 6 FEET </v>
          </cell>
          <cell r="C884" t="str">
            <v>SWR PIPE</v>
          </cell>
          <cell r="D884">
            <v>1.56</v>
          </cell>
        </row>
        <row r="885">
          <cell r="A885" t="str">
            <v>PW100S</v>
          </cell>
          <cell r="B885" t="str">
            <v xml:space="preserve">SWR PIPE TYPE A SELF FIT 90 MM S/S 4 FEET </v>
          </cell>
          <cell r="C885" t="str">
            <v>SWR PIPE</v>
          </cell>
          <cell r="D885">
            <v>1.04</v>
          </cell>
        </row>
        <row r="886">
          <cell r="A886" t="str">
            <v>PW11S</v>
          </cell>
          <cell r="B886" t="str">
            <v>SWR PIPE TYPE A SELF FIT 110 MM S/S 3 METER</v>
          </cell>
          <cell r="C886" t="str">
            <v>SWR PIPE</v>
          </cell>
          <cell r="D886">
            <v>3.8</v>
          </cell>
        </row>
        <row r="887">
          <cell r="A887" t="str">
            <v>PW12S</v>
          </cell>
          <cell r="B887" t="str">
            <v>SWR PIPE TYPE A SELF FIT 110 MM D/S 3 METER</v>
          </cell>
          <cell r="C887" t="str">
            <v>SWR PIPE</v>
          </cell>
          <cell r="D887">
            <v>3.8</v>
          </cell>
        </row>
        <row r="888">
          <cell r="A888" t="str">
            <v>PW13S</v>
          </cell>
          <cell r="B888" t="str">
            <v>SWR PIPE TYPE A SELF FIT 110 MM S/S 6 METER</v>
          </cell>
          <cell r="C888" t="str">
            <v>SWR PIPE</v>
          </cell>
          <cell r="D888">
            <v>7.5</v>
          </cell>
        </row>
        <row r="889">
          <cell r="A889" t="str">
            <v>PW14S</v>
          </cell>
          <cell r="B889" t="str">
            <v>SWR PIPE TYPE A SELF FIT 110 MM D/S 6 METER</v>
          </cell>
          <cell r="C889" t="str">
            <v>SWR PIPE</v>
          </cell>
          <cell r="D889">
            <v>7.5</v>
          </cell>
        </row>
        <row r="890">
          <cell r="A890" t="str">
            <v>PW15S</v>
          </cell>
          <cell r="B890" t="str">
            <v xml:space="preserve">SWR PIPE TYPE A SELF FIT 110 MM D/S 2 FEET </v>
          </cell>
          <cell r="C890" t="str">
            <v>SWR PIPE</v>
          </cell>
          <cell r="D890">
            <v>0.76</v>
          </cell>
        </row>
        <row r="891">
          <cell r="A891" t="str">
            <v>PW16S</v>
          </cell>
          <cell r="B891" t="str">
            <v xml:space="preserve">SWR PIPE TYPE A SELF FIT 110 MM D/S 3 FEET </v>
          </cell>
          <cell r="C891" t="str">
            <v>SWR PIPE</v>
          </cell>
          <cell r="D891">
            <v>1.1400000000000001</v>
          </cell>
        </row>
        <row r="892">
          <cell r="A892" t="str">
            <v>PW17S</v>
          </cell>
          <cell r="B892" t="str">
            <v xml:space="preserve">SWR PIPE TYPE A SELF FIT 110 MM D/S 4 FEET </v>
          </cell>
          <cell r="C892" t="str">
            <v>SWR PIPE</v>
          </cell>
          <cell r="D892">
            <v>1.52</v>
          </cell>
        </row>
        <row r="893">
          <cell r="A893" t="str">
            <v>PW18S</v>
          </cell>
          <cell r="B893" t="str">
            <v xml:space="preserve">SWR PIPE TYPE A SELF FIT 110 MM D/S 6 FEET </v>
          </cell>
          <cell r="C893" t="str">
            <v>SWR PIPE</v>
          </cell>
          <cell r="D893">
            <v>2.2800000000000002</v>
          </cell>
        </row>
        <row r="894">
          <cell r="A894" t="str">
            <v>PW19S</v>
          </cell>
          <cell r="B894" t="str">
            <v xml:space="preserve">SWR PIPE TYPE A SELF FIT 110 MM S/S 6 FEET </v>
          </cell>
          <cell r="C894" t="str">
            <v>SWR PIPE</v>
          </cell>
          <cell r="D894">
            <v>2.2800000000000002</v>
          </cell>
        </row>
        <row r="895">
          <cell r="A895" t="str">
            <v>PW20S</v>
          </cell>
          <cell r="B895" t="str">
            <v xml:space="preserve">SWR PIPE TYPE A SELF FIT 110 MM S/S 4 FEET </v>
          </cell>
          <cell r="C895" t="str">
            <v>SWR PIPE</v>
          </cell>
          <cell r="D895">
            <v>1.52</v>
          </cell>
        </row>
        <row r="896">
          <cell r="A896" t="str">
            <v>PW61S</v>
          </cell>
          <cell r="B896" t="str">
            <v>SWR PIPE TYPE A SELF FIT 160 MM S/S 3 METER</v>
          </cell>
          <cell r="C896" t="str">
            <v>SWR PIPE</v>
          </cell>
          <cell r="D896">
            <v>7.6</v>
          </cell>
        </row>
        <row r="897">
          <cell r="A897" t="str">
            <v>PW62S</v>
          </cell>
          <cell r="B897" t="str">
            <v>SWR PIPE TYPE A SELF FIT 160 MM D/S 3 METER</v>
          </cell>
          <cell r="C897" t="str">
            <v>SWR PIPE</v>
          </cell>
          <cell r="D897">
            <v>7.6</v>
          </cell>
        </row>
        <row r="898">
          <cell r="A898" t="str">
            <v>PW63S</v>
          </cell>
          <cell r="B898" t="str">
            <v>SWR PIPE TYPE A SELF FIT 160 MM S/S 6 METER</v>
          </cell>
          <cell r="C898" t="str">
            <v>SWR PIPE</v>
          </cell>
          <cell r="D898">
            <v>15.1</v>
          </cell>
        </row>
        <row r="899">
          <cell r="A899" t="str">
            <v>PW64S</v>
          </cell>
          <cell r="B899" t="str">
            <v>SWR PIPE TYPE A SELF FIT 160 MM D/S 6 METER</v>
          </cell>
          <cell r="C899" t="str">
            <v>SWR PIPE</v>
          </cell>
          <cell r="D899">
            <v>15.1</v>
          </cell>
        </row>
        <row r="900">
          <cell r="A900" t="str">
            <v>PW65S</v>
          </cell>
          <cell r="B900" t="str">
            <v xml:space="preserve">SWR PIPE TYPE A SELF FIT 160 MM D/S 2 FEET </v>
          </cell>
          <cell r="C900" t="str">
            <v>SWR PIPE</v>
          </cell>
          <cell r="D900">
            <v>1.52</v>
          </cell>
        </row>
        <row r="901">
          <cell r="A901" t="str">
            <v>PW66S</v>
          </cell>
          <cell r="B901" t="str">
            <v xml:space="preserve">SWR PIPE TYPE A SELF FIT 160 MM D/S 3 FEET </v>
          </cell>
          <cell r="C901" t="str">
            <v>SWR PIPE</v>
          </cell>
          <cell r="D901">
            <v>2.2800000000000002</v>
          </cell>
        </row>
        <row r="902">
          <cell r="A902" t="str">
            <v>PW67S</v>
          </cell>
          <cell r="B902" t="str">
            <v xml:space="preserve">SWR PIPE TYPE A SELF FIT 160 MM D/S 4 FEET </v>
          </cell>
          <cell r="C902" t="str">
            <v>SWR PIPE</v>
          </cell>
          <cell r="D902">
            <v>3.04</v>
          </cell>
        </row>
        <row r="903">
          <cell r="A903" t="str">
            <v>PW68S</v>
          </cell>
          <cell r="B903" t="str">
            <v xml:space="preserve">SWR PIPE TYPE A SELF FIT 160 MM D/S 6 FEET </v>
          </cell>
          <cell r="C903" t="str">
            <v>SWR PIPE</v>
          </cell>
          <cell r="D903">
            <v>4.5600000000000005</v>
          </cell>
        </row>
        <row r="904">
          <cell r="A904" t="str">
            <v>PW69S</v>
          </cell>
          <cell r="B904" t="str">
            <v xml:space="preserve">SWR PIPE TYPE A SELF FIT 160 MM S/S 6 FEET </v>
          </cell>
          <cell r="C904" t="str">
            <v>SWR PIPE</v>
          </cell>
          <cell r="D904">
            <v>4.5599999999999996</v>
          </cell>
        </row>
        <row r="905">
          <cell r="A905" t="str">
            <v>PW70S</v>
          </cell>
          <cell r="B905" t="str">
            <v xml:space="preserve">SWR PIPE TYPE A SELF FIT 160 MM S/S 4 FEET </v>
          </cell>
          <cell r="C905" t="str">
            <v>SWR PIPE</v>
          </cell>
          <cell r="D905">
            <v>3.04</v>
          </cell>
        </row>
        <row r="906">
          <cell r="A906" t="str">
            <v>PW31S</v>
          </cell>
          <cell r="B906" t="str">
            <v>SWR PIPE TYPE B SELF FIT 75 MM S/S 3 METER</v>
          </cell>
          <cell r="C906" t="str">
            <v>SWR PIPE</v>
          </cell>
          <cell r="D906">
            <v>3.6</v>
          </cell>
        </row>
        <row r="907">
          <cell r="A907" t="str">
            <v>PW32S</v>
          </cell>
          <cell r="B907" t="str">
            <v>SWR PIPE TYPE B SELF FIT 75 MM D/S 3 METER</v>
          </cell>
          <cell r="C907" t="str">
            <v>SWR PIPE</v>
          </cell>
          <cell r="D907">
            <v>3.6</v>
          </cell>
        </row>
        <row r="908">
          <cell r="A908" t="str">
            <v>PW33S</v>
          </cell>
          <cell r="B908" t="str">
            <v>SWR PIPE TYPE B SELF FIT 75 MM S/S 6 METER</v>
          </cell>
          <cell r="C908" t="str">
            <v>SWR PIPE</v>
          </cell>
          <cell r="D908">
            <v>7.1</v>
          </cell>
        </row>
        <row r="909">
          <cell r="A909" t="str">
            <v>PW34S</v>
          </cell>
          <cell r="B909" t="str">
            <v>SWR PIPE TYPE B SELF FIT 75 MM D/S 6 METER</v>
          </cell>
          <cell r="C909" t="str">
            <v>SWR PIPE</v>
          </cell>
          <cell r="D909">
            <v>7.1</v>
          </cell>
        </row>
        <row r="910">
          <cell r="A910" t="str">
            <v>PW35S</v>
          </cell>
          <cell r="B910" t="str">
            <v xml:space="preserve">SWR PIPE TYPE B SELF FIT 75 MM D/S 2 FEET </v>
          </cell>
          <cell r="C910" t="str">
            <v>SWR PIPE</v>
          </cell>
          <cell r="D910">
            <v>0.72</v>
          </cell>
        </row>
        <row r="911">
          <cell r="A911" t="str">
            <v>PW36S</v>
          </cell>
          <cell r="B911" t="str">
            <v xml:space="preserve">SWR PIPE TYPE B SELF FIT 75 MM D/S 3 FEET </v>
          </cell>
          <cell r="C911" t="str">
            <v>SWR PIPE</v>
          </cell>
          <cell r="D911">
            <v>1.08</v>
          </cell>
        </row>
        <row r="912">
          <cell r="A912" t="str">
            <v>PW37S</v>
          </cell>
          <cell r="B912" t="str">
            <v xml:space="preserve">SWR PIPE TYPE B SELF FIT 75 MM D/S 4 FEET </v>
          </cell>
          <cell r="C912" t="str">
            <v>SWR PIPE</v>
          </cell>
          <cell r="D912">
            <v>1.44</v>
          </cell>
        </row>
        <row r="913">
          <cell r="A913" t="str">
            <v>PW38S</v>
          </cell>
          <cell r="B913" t="str">
            <v xml:space="preserve">SWR PIPE TYPE B SELF FIT 75 MM D/S 6 FEET </v>
          </cell>
          <cell r="C913" t="str">
            <v>SWR PIPE</v>
          </cell>
          <cell r="D913">
            <v>2.16</v>
          </cell>
        </row>
        <row r="914">
          <cell r="A914" t="str">
            <v>PW39S</v>
          </cell>
          <cell r="B914" t="str">
            <v xml:space="preserve">SWR PIPE TYPE B SELF FIT 75 MM S/S 6 FEET </v>
          </cell>
          <cell r="C914" t="str">
            <v>SWR PIPE</v>
          </cell>
          <cell r="D914">
            <v>2.16</v>
          </cell>
        </row>
        <row r="915">
          <cell r="A915" t="str">
            <v>PW40S</v>
          </cell>
          <cell r="B915" t="str">
            <v xml:space="preserve">SWR PIPE TYPE B SELF FIT 75 MM S/S 4 FEET </v>
          </cell>
          <cell r="C915" t="str">
            <v>SWR PIPE</v>
          </cell>
          <cell r="D915">
            <v>1.44</v>
          </cell>
        </row>
        <row r="916">
          <cell r="A916" t="str">
            <v>PW81S</v>
          </cell>
          <cell r="B916" t="str">
            <v>SWR PIPE TYPE B SELF FIT 90 MM S/S 3 METER</v>
          </cell>
          <cell r="C916" t="str">
            <v>SWR PIPE</v>
          </cell>
          <cell r="D916">
            <v>4.4000000000000004</v>
          </cell>
        </row>
        <row r="917">
          <cell r="A917" t="str">
            <v>PW82S</v>
          </cell>
          <cell r="B917" t="str">
            <v>SWR PIPE TYPE B SELF FIT 90 MM D/S 3 METER</v>
          </cell>
          <cell r="C917" t="str">
            <v>SWR PIPE</v>
          </cell>
          <cell r="D917">
            <v>4.4000000000000004</v>
          </cell>
        </row>
        <row r="918">
          <cell r="A918" t="str">
            <v>PW83S</v>
          </cell>
          <cell r="B918" t="str">
            <v>SWR PIPE TYPE B SELF FIT 90 MM S/S 6 METER</v>
          </cell>
          <cell r="C918" t="str">
            <v>SWR PIPE</v>
          </cell>
          <cell r="D918">
            <v>8.6999999999999993</v>
          </cell>
        </row>
        <row r="919">
          <cell r="A919" t="str">
            <v>PW84S</v>
          </cell>
          <cell r="B919" t="str">
            <v>SWR PIPE TYPE B SELF FIT 90 MM D/S 6 METER</v>
          </cell>
          <cell r="C919" t="str">
            <v>SWR PIPE</v>
          </cell>
          <cell r="D919">
            <v>8.6999999999999993</v>
          </cell>
        </row>
        <row r="920">
          <cell r="A920" t="str">
            <v>PW85S</v>
          </cell>
          <cell r="B920" t="str">
            <v xml:space="preserve">SWR PIPE TYPE B SELF FIT 90 MM D/S 2 FEET </v>
          </cell>
          <cell r="C920" t="str">
            <v>SWR PIPE</v>
          </cell>
          <cell r="D920">
            <v>0.88000000000000012</v>
          </cell>
        </row>
        <row r="921">
          <cell r="A921" t="str">
            <v>PW86S</v>
          </cell>
          <cell r="B921" t="str">
            <v xml:space="preserve">SWR PIPE TYPE B SELF FIT 90 MM D/S 3 FEET </v>
          </cell>
          <cell r="C921" t="str">
            <v>SWR PIPE</v>
          </cell>
          <cell r="D921">
            <v>1.3200000000000003</v>
          </cell>
        </row>
        <row r="922">
          <cell r="A922" t="str">
            <v>PW87S</v>
          </cell>
          <cell r="B922" t="str">
            <v xml:space="preserve">SWR PIPE TYPE B SELF FIT 90 MM D/S 4 FEET </v>
          </cell>
          <cell r="C922" t="str">
            <v>SWR PIPE</v>
          </cell>
          <cell r="D922">
            <v>1.7600000000000002</v>
          </cell>
        </row>
        <row r="923">
          <cell r="A923" t="str">
            <v>PW88S</v>
          </cell>
          <cell r="B923" t="str">
            <v xml:space="preserve">SWR PIPE TYPE B SELF FIT 90 MM D/S 6 FEET </v>
          </cell>
          <cell r="C923" t="str">
            <v>SWR PIPE</v>
          </cell>
          <cell r="D923">
            <v>2.6400000000000006</v>
          </cell>
        </row>
        <row r="924">
          <cell r="A924" t="str">
            <v>PW89S</v>
          </cell>
          <cell r="B924" t="str">
            <v xml:space="preserve">SWR PIPE TYPE B SELF FIT 90 MM S/S 6 FEET </v>
          </cell>
          <cell r="C924" t="str">
            <v>SWR PIPE</v>
          </cell>
          <cell r="D924">
            <v>2.64</v>
          </cell>
        </row>
        <row r="925">
          <cell r="A925" t="str">
            <v>PW90S</v>
          </cell>
          <cell r="B925" t="str">
            <v xml:space="preserve">SWR PIPE TYPE B SELF FIT 90 MM S/S 4 FEET </v>
          </cell>
          <cell r="C925" t="str">
            <v>SWR PIPE</v>
          </cell>
          <cell r="D925">
            <v>1.7600000000000002</v>
          </cell>
        </row>
        <row r="926">
          <cell r="A926" t="str">
            <v>PW21S</v>
          </cell>
          <cell r="B926" t="str">
            <v>SWR PIPE TYPE B SELF FIT 110 MM S/S 3 METER</v>
          </cell>
          <cell r="C926" t="str">
            <v>SWR PIPE</v>
          </cell>
          <cell r="D926">
            <v>5.2</v>
          </cell>
        </row>
        <row r="927">
          <cell r="A927" t="str">
            <v>PW22S</v>
          </cell>
          <cell r="B927" t="str">
            <v>SWR PIPE TYPE B SELF FIT 110 MM D/S 3 METER</v>
          </cell>
          <cell r="C927" t="str">
            <v>SWR PIPE</v>
          </cell>
          <cell r="D927">
            <v>5.2</v>
          </cell>
        </row>
        <row r="928">
          <cell r="A928" t="str">
            <v>PW23S</v>
          </cell>
          <cell r="B928" t="str">
            <v>SWR PIPE TYPE B SELF FIT 110 MM S/S 6 METER</v>
          </cell>
          <cell r="C928" t="str">
            <v>SWR PIPE</v>
          </cell>
          <cell r="D928">
            <v>10.3</v>
          </cell>
        </row>
        <row r="929">
          <cell r="A929" t="str">
            <v>PW24S</v>
          </cell>
          <cell r="B929" t="str">
            <v>SWR PIPE TYPE B SELF FIT 110 MM D/S 6 METER</v>
          </cell>
          <cell r="C929" t="str">
            <v>SWR PIPE</v>
          </cell>
          <cell r="D929">
            <v>10.3</v>
          </cell>
        </row>
        <row r="930">
          <cell r="A930" t="str">
            <v>PW25S</v>
          </cell>
          <cell r="B930" t="str">
            <v xml:space="preserve">SWR PIPE TYPE B SELF FIT 110 MM D/S 2 FEET </v>
          </cell>
          <cell r="C930" t="str">
            <v>SWR PIPE</v>
          </cell>
          <cell r="D930">
            <v>1.04</v>
          </cell>
        </row>
        <row r="931">
          <cell r="A931" t="str">
            <v>PW26S</v>
          </cell>
          <cell r="B931" t="str">
            <v xml:space="preserve">SWR PIPE TYPE B SELF FIT 110 MM D/S 3 FEET </v>
          </cell>
          <cell r="C931" t="str">
            <v>SWR PIPE</v>
          </cell>
          <cell r="D931">
            <v>1.56</v>
          </cell>
        </row>
        <row r="932">
          <cell r="A932" t="str">
            <v>PW27S</v>
          </cell>
          <cell r="B932" t="str">
            <v xml:space="preserve">SWR PIPE TYPE B SELF FIT 110 MM D/S 4 FEET </v>
          </cell>
          <cell r="C932" t="str">
            <v>SWR PIPE</v>
          </cell>
          <cell r="D932">
            <v>2.08</v>
          </cell>
        </row>
        <row r="933">
          <cell r="A933" t="str">
            <v>PW28S</v>
          </cell>
          <cell r="B933" t="str">
            <v xml:space="preserve">SWR PIPE TYPE B SELF FIT 110 MM D/S 6 FEET </v>
          </cell>
          <cell r="C933" t="str">
            <v>SWR PIPE</v>
          </cell>
          <cell r="D933">
            <v>3.12</v>
          </cell>
        </row>
        <row r="934">
          <cell r="A934" t="str">
            <v>PW29S</v>
          </cell>
          <cell r="B934" t="str">
            <v xml:space="preserve">SWR PIPE TYPE B SELF FIT 110 MM S/S 6 FEET </v>
          </cell>
          <cell r="C934" t="str">
            <v>SWR PIPE</v>
          </cell>
          <cell r="D934">
            <v>3.12</v>
          </cell>
        </row>
        <row r="935">
          <cell r="A935" t="str">
            <v>PW30S</v>
          </cell>
          <cell r="B935" t="str">
            <v xml:space="preserve">SWR PIPE TYPE B SELF FIT 110 MM S/S 4 FEET </v>
          </cell>
          <cell r="C935" t="str">
            <v>SWR PIPE</v>
          </cell>
          <cell r="D935">
            <v>2.08</v>
          </cell>
        </row>
        <row r="936">
          <cell r="A936" t="str">
            <v>PW51S</v>
          </cell>
          <cell r="B936" t="str">
            <v>SWR PIPE TYPE B SELF FIT 160 MM S/S 3 METER</v>
          </cell>
          <cell r="C936" t="str">
            <v>SWR PIPE</v>
          </cell>
          <cell r="D936">
            <v>9.1</v>
          </cell>
        </row>
        <row r="937">
          <cell r="A937" t="str">
            <v>PW52S</v>
          </cell>
          <cell r="B937" t="str">
            <v>SWR PIPE TYPE B SELF FIT 160 MM D/S 3 METER</v>
          </cell>
          <cell r="C937" t="str">
            <v>SWR PIPE</v>
          </cell>
          <cell r="D937">
            <v>9.1</v>
          </cell>
        </row>
        <row r="938">
          <cell r="A938" t="str">
            <v>PW53S</v>
          </cell>
          <cell r="B938" t="str">
            <v>SWR PIPE TYPE B SELF FIT 160 MM S/S 6 METER</v>
          </cell>
          <cell r="C938" t="str">
            <v>SWR PIPE</v>
          </cell>
          <cell r="D938">
            <v>18.100000000000001</v>
          </cell>
        </row>
        <row r="939">
          <cell r="A939" t="str">
            <v>PW54S</v>
          </cell>
          <cell r="B939" t="str">
            <v>SWR PIPE TYPE B SELF FIT 160 MM D/S 6 METER</v>
          </cell>
          <cell r="C939" t="str">
            <v>SWR PIPE</v>
          </cell>
          <cell r="D939">
            <v>18.100000000000001</v>
          </cell>
        </row>
        <row r="940">
          <cell r="A940" t="str">
            <v>PW55S</v>
          </cell>
          <cell r="B940" t="str">
            <v xml:space="preserve">SWR PIPE TYPE B SELF FIT 160 MM D/S 2 FEET </v>
          </cell>
          <cell r="C940" t="str">
            <v>SWR PIPE</v>
          </cell>
          <cell r="D940">
            <v>1.8199999999999998</v>
          </cell>
        </row>
        <row r="941">
          <cell r="A941" t="str">
            <v>PW56S</v>
          </cell>
          <cell r="B941" t="str">
            <v xml:space="preserve">SWR PIPE TYPE B SELF FIT 160 MM D/S 3 FEET </v>
          </cell>
          <cell r="C941" t="str">
            <v>SWR PIPE</v>
          </cell>
          <cell r="D941">
            <v>2.7299999999999995</v>
          </cell>
        </row>
        <row r="942">
          <cell r="A942" t="str">
            <v>PW57S</v>
          </cell>
          <cell r="B942" t="str">
            <v xml:space="preserve">SWR PIPE TYPE B SELF FIT 160 MM D/S 4 FEET </v>
          </cell>
          <cell r="C942" t="str">
            <v>SWR PIPE</v>
          </cell>
          <cell r="D942">
            <v>3.6399999999999997</v>
          </cell>
        </row>
        <row r="943">
          <cell r="A943" t="str">
            <v>PW58S</v>
          </cell>
          <cell r="B943" t="str">
            <v xml:space="preserve">SWR PIPE TYPE B SELF FIT 160 MM D/S 6 FEET </v>
          </cell>
          <cell r="C943" t="str">
            <v>SWR PIPE</v>
          </cell>
          <cell r="D943">
            <v>5.4599999999999991</v>
          </cell>
        </row>
        <row r="944">
          <cell r="A944" t="str">
            <v>PW59S</v>
          </cell>
          <cell r="B944" t="str">
            <v xml:space="preserve">SWR PIPE TYPE B SELF FIT 160 MM S/S 6 FEET </v>
          </cell>
          <cell r="C944" t="str">
            <v>SWR PIPE</v>
          </cell>
          <cell r="D944">
            <v>5.46</v>
          </cell>
        </row>
        <row r="945">
          <cell r="A945" t="str">
            <v>PW60S</v>
          </cell>
          <cell r="B945" t="str">
            <v xml:space="preserve">SWR PIPE TYPE B SELF FIT 160 MM S/S 4 FEET </v>
          </cell>
          <cell r="C945" t="str">
            <v>SWR PIPE</v>
          </cell>
          <cell r="D945">
            <v>3.64</v>
          </cell>
        </row>
        <row r="946">
          <cell r="A946" t="str">
            <v>PW11C</v>
          </cell>
          <cell r="B946" t="str">
            <v>110MM SWR PIPE 12 FEET</v>
          </cell>
          <cell r="C946" t="str">
            <v>SWR PIPE</v>
          </cell>
          <cell r="D946">
            <v>4.5999999999999996</v>
          </cell>
        </row>
        <row r="947">
          <cell r="A947" t="str">
            <v>PW 61SP</v>
          </cell>
          <cell r="B947" t="str">
            <v>160MM SWR PIPE 12 FEET</v>
          </cell>
          <cell r="C947" t="str">
            <v>SWR PIPE</v>
          </cell>
          <cell r="D947">
            <v>0</v>
          </cell>
        </row>
        <row r="948">
          <cell r="A948" t="str">
            <v>PW 71SP</v>
          </cell>
          <cell r="B948" t="str">
            <v>75MM SWR PIPE 12 FEET</v>
          </cell>
          <cell r="C948" t="str">
            <v>SWR PIPE</v>
          </cell>
          <cell r="D948">
            <v>2.88</v>
          </cell>
        </row>
        <row r="949">
          <cell r="A949" t="str">
            <v>PW91C</v>
          </cell>
          <cell r="B949" t="str">
            <v>90MM SWR PIPE 12 FEET</v>
          </cell>
          <cell r="C949" t="str">
            <v>SWR PIPE</v>
          </cell>
          <cell r="D949">
            <v>3.1</v>
          </cell>
        </row>
        <row r="950">
          <cell r="A950" t="str">
            <v>A-26A</v>
          </cell>
          <cell r="B950" t="str">
            <v>63 MM 4 KG AGRI PIPE (3 Mtr.)</v>
          </cell>
          <cell r="C950" t="str">
            <v>AGRI PIPE</v>
          </cell>
          <cell r="D950">
            <v>1.65</v>
          </cell>
        </row>
        <row r="951">
          <cell r="A951" t="str">
            <v>A-27A</v>
          </cell>
          <cell r="B951" t="str">
            <v>75 MM 4 KG AGRI PIPE  (3 Mtr.)</v>
          </cell>
          <cell r="C951" t="str">
            <v>AGRI PIPE</v>
          </cell>
          <cell r="D951">
            <v>2.35</v>
          </cell>
        </row>
        <row r="952">
          <cell r="A952" t="str">
            <v>A-28A</v>
          </cell>
          <cell r="B952" t="str">
            <v>90 MM 4 KG AGRI PIPE (3 Mtr.)</v>
          </cell>
          <cell r="C952" t="str">
            <v>AGRI PIPE</v>
          </cell>
          <cell r="D952">
            <v>3.1</v>
          </cell>
        </row>
        <row r="953">
          <cell r="A953" t="str">
            <v>A-29A</v>
          </cell>
          <cell r="B953" t="str">
            <v>110 MM 4 KG AGRI PIPE  (3 Mtr.)</v>
          </cell>
          <cell r="C953" t="str">
            <v>AGRI PIPE</v>
          </cell>
          <cell r="D953">
            <v>4</v>
          </cell>
        </row>
        <row r="954">
          <cell r="A954" t="str">
            <v>A-32A</v>
          </cell>
          <cell r="B954" t="str">
            <v>160 MM 4 KG AGRI PIPE  (3 Mtr.)</v>
          </cell>
          <cell r="C954" t="str">
            <v>AGRI PIPE</v>
          </cell>
          <cell r="D954">
            <v>9</v>
          </cell>
        </row>
        <row r="955">
          <cell r="A955" t="str">
            <v>A-34A</v>
          </cell>
          <cell r="B955" t="str">
            <v>200MM 4 Kg AGRI PIPE  (3 Mtr.)</v>
          </cell>
          <cell r="C955" t="str">
            <v>AGRI PIPE</v>
          </cell>
          <cell r="D955">
            <v>13.44</v>
          </cell>
        </row>
        <row r="956">
          <cell r="A956" t="str">
            <v>A-44A</v>
          </cell>
          <cell r="B956" t="str">
            <v>40 MM 6 KG AGRI PIPE (3 Mtr.)</v>
          </cell>
          <cell r="C956" t="str">
            <v>AGRI PIPE</v>
          </cell>
          <cell r="D956">
            <v>0.91</v>
          </cell>
        </row>
        <row r="957">
          <cell r="A957" t="str">
            <v>A-45A</v>
          </cell>
          <cell r="B957" t="str">
            <v>50 MM 6 KG AGRI PIPE (3 Mtr.)</v>
          </cell>
          <cell r="C957" t="str">
            <v>AGRI PIPE</v>
          </cell>
          <cell r="D957">
            <v>1.375</v>
          </cell>
        </row>
        <row r="958">
          <cell r="A958" t="str">
            <v>A-46A</v>
          </cell>
          <cell r="B958" t="str">
            <v>63 MM 6 KG AGRI PIPE (3 Mtr.)</v>
          </cell>
          <cell r="C958" t="str">
            <v>AGRI PIPE</v>
          </cell>
          <cell r="D958">
            <v>2</v>
          </cell>
        </row>
        <row r="959">
          <cell r="A959" t="str">
            <v>A-47A</v>
          </cell>
          <cell r="B959" t="str">
            <v>75 MM 6 KG AGRI PIPE (3 Mtr.)</v>
          </cell>
          <cell r="C959" t="str">
            <v>AGRI PIPE</v>
          </cell>
          <cell r="D959">
            <v>2.97</v>
          </cell>
        </row>
        <row r="960">
          <cell r="A960" t="str">
            <v>A-48A</v>
          </cell>
          <cell r="B960" t="str">
            <v>90 MM 6 KG AGRI PIPE (3 Mtr.)</v>
          </cell>
          <cell r="C960" t="str">
            <v>AGRI PIPE</v>
          </cell>
          <cell r="D960">
            <v>4</v>
          </cell>
        </row>
        <row r="961">
          <cell r="A961" t="str">
            <v>A-49A</v>
          </cell>
          <cell r="B961" t="str">
            <v>110 MM 6 KG AGRI PIPE (3 Mtr.)</v>
          </cell>
          <cell r="C961" t="str">
            <v>AGRI PIPE</v>
          </cell>
          <cell r="D961">
            <v>5.75</v>
          </cell>
        </row>
        <row r="962">
          <cell r="A962" t="str">
            <v>A-12A</v>
          </cell>
          <cell r="B962" t="str">
            <v>AGRI PIPE 2.5KG/cm2 3MTR 160MM</v>
          </cell>
          <cell r="C962" t="str">
            <v>AGRI PIPE</v>
          </cell>
          <cell r="D962">
            <v>5.3019999999999996</v>
          </cell>
        </row>
        <row r="963">
          <cell r="A963" t="str">
            <v>A-14A</v>
          </cell>
          <cell r="B963" t="str">
            <v>AGRI PIPE 2.5KG/cm2 3MTR 200MM</v>
          </cell>
          <cell r="C963" t="str">
            <v>AGRI PIPE</v>
          </cell>
          <cell r="D963">
            <v>0</v>
          </cell>
        </row>
        <row r="964">
          <cell r="A964" t="str">
            <v>A-81A</v>
          </cell>
          <cell r="B964" t="str">
            <v>AGRI PIPE 10KG/cm2 3MTR 20MM</v>
          </cell>
          <cell r="C964" t="str">
            <v>AGRI PIPE</v>
          </cell>
          <cell r="D964">
            <v>0.30499999999999999</v>
          </cell>
        </row>
        <row r="965">
          <cell r="A965" t="str">
            <v>A-82A</v>
          </cell>
          <cell r="B965" t="str">
            <v>AGRI PIPE 10KG/cm2 3MTR 25MM</v>
          </cell>
          <cell r="C965" t="str">
            <v>AGRI PIPE</v>
          </cell>
          <cell r="D965">
            <v>0.48499999999999999</v>
          </cell>
        </row>
        <row r="966">
          <cell r="A966" t="str">
            <v>A-83A</v>
          </cell>
          <cell r="B966" t="str">
            <v>AGRI PIPE 10KG/cm2 3MTR 32MM</v>
          </cell>
          <cell r="C966" t="str">
            <v>AGRI PIPE</v>
          </cell>
          <cell r="D966">
            <v>0.79</v>
          </cell>
        </row>
        <row r="967">
          <cell r="A967" t="str">
            <v>A-8A</v>
          </cell>
          <cell r="B967" t="str">
            <v>90MM 2.5KG AGRI PIPE (3MTR)</v>
          </cell>
          <cell r="C967" t="str">
            <v>AGRI PIPE</v>
          </cell>
          <cell r="D967">
            <v>1.78</v>
          </cell>
        </row>
        <row r="968">
          <cell r="A968" t="str">
            <v>A-9A</v>
          </cell>
          <cell r="B968" t="str">
            <v>110MM 2.5KG AGRI PIPE 3 MTR</v>
          </cell>
          <cell r="C968" t="str">
            <v>AGRI PIPE</v>
          </cell>
          <cell r="D968">
            <v>2.6</v>
          </cell>
        </row>
        <row r="969">
          <cell r="A969" t="str">
            <v>A-52A</v>
          </cell>
          <cell r="B969" t="str">
            <v>160MM 6 Kg AGRI PIPE  (3 Mtr.)</v>
          </cell>
          <cell r="C969" t="str">
            <v>AGRI PIPE</v>
          </cell>
          <cell r="D969">
            <v>11.75</v>
          </cell>
        </row>
        <row r="970">
          <cell r="A970" t="str">
            <v>A-45B</v>
          </cell>
          <cell r="B970" t="str">
            <v>50 MM 6 KG AGRI PIPE  (5 Mtr.)</v>
          </cell>
          <cell r="C970" t="str">
            <v>AGRI PIPE</v>
          </cell>
          <cell r="D970">
            <v>2.35</v>
          </cell>
        </row>
        <row r="971">
          <cell r="A971" t="str">
            <v>A-26B</v>
          </cell>
          <cell r="B971" t="str">
            <v>63 MM 4 KG AGRI PIPE  (5 Mtr.)</v>
          </cell>
          <cell r="C971" t="str">
            <v>AGRI PIPE</v>
          </cell>
          <cell r="D971">
            <v>2.75</v>
          </cell>
        </row>
        <row r="972">
          <cell r="A972" t="str">
            <v>A-27B</v>
          </cell>
          <cell r="B972" t="str">
            <v>75 MM 4 KG AGRI PIPE  (5 Mtr.)</v>
          </cell>
          <cell r="C972" t="str">
            <v>AGRI PIPE</v>
          </cell>
          <cell r="D972">
            <v>3.9169999999999998</v>
          </cell>
        </row>
        <row r="973">
          <cell r="A973" t="str">
            <v>A-28B</v>
          </cell>
          <cell r="B973" t="str">
            <v>90MM 4KG AGRI PIPE (5METER)</v>
          </cell>
          <cell r="C973" t="str">
            <v>AGRI PIPE</v>
          </cell>
          <cell r="D973">
            <v>5.0999999999999996</v>
          </cell>
        </row>
        <row r="974">
          <cell r="A974" t="str">
            <v>A-29B</v>
          </cell>
          <cell r="B974" t="str">
            <v>110MM 4KG AGRI PIPE (5METER)</v>
          </cell>
          <cell r="C974" t="str">
            <v>AGRI PIPE</v>
          </cell>
          <cell r="D974">
            <v>6.66</v>
          </cell>
        </row>
        <row r="975">
          <cell r="A975" t="str">
            <v>A-44B</v>
          </cell>
          <cell r="B975" t="str">
            <v>40MM 6KG AGRI PIPE (5METER)</v>
          </cell>
          <cell r="C975" t="str">
            <v>AGRI PIPE</v>
          </cell>
          <cell r="D975">
            <v>1.516</v>
          </cell>
        </row>
        <row r="976">
          <cell r="A976" t="str">
            <v>A-46B</v>
          </cell>
          <cell r="B976" t="str">
            <v>63MM 6KG AGRI PIPE (5METER)</v>
          </cell>
          <cell r="C976" t="str">
            <v>AGRI PIPE</v>
          </cell>
          <cell r="D976">
            <v>3.33</v>
          </cell>
        </row>
        <row r="977">
          <cell r="A977" t="str">
            <v>A-47B</v>
          </cell>
          <cell r="B977" t="str">
            <v>75MM 6KG AGRI PIPE (5METER)</v>
          </cell>
          <cell r="C977" t="str">
            <v>AGRI PIPE</v>
          </cell>
          <cell r="D977">
            <v>5</v>
          </cell>
        </row>
        <row r="978">
          <cell r="A978" t="str">
            <v>A-48B</v>
          </cell>
          <cell r="B978" t="str">
            <v>90MM 6KG AGRI PIPE (5METER)</v>
          </cell>
          <cell r="C978" t="str">
            <v>AGRI PIPE</v>
          </cell>
          <cell r="D978">
            <v>6.25</v>
          </cell>
        </row>
        <row r="979">
          <cell r="A979" t="str">
            <v>A-81B</v>
          </cell>
          <cell r="B979" t="str">
            <v>20MM 10KG AGRI PIPE (5METER)</v>
          </cell>
          <cell r="C979" t="str">
            <v>AGRI PIPE</v>
          </cell>
          <cell r="D979">
            <v>0.50800000000000001</v>
          </cell>
        </row>
        <row r="980">
          <cell r="A980" t="str">
            <v>A-82B</v>
          </cell>
          <cell r="B980" t="str">
            <v>25MM 10KG AGRI PIPE (5METER)</v>
          </cell>
          <cell r="C980" t="str">
            <v>AGRI PIPE</v>
          </cell>
          <cell r="D980">
            <v>0.77500000000000002</v>
          </cell>
        </row>
        <row r="981">
          <cell r="A981" t="str">
            <v>A-83B</v>
          </cell>
          <cell r="B981" t="str">
            <v>32MM 10KG AGRI PIPE (5METER)</v>
          </cell>
          <cell r="C981" t="str">
            <v>AGRI PIPE</v>
          </cell>
          <cell r="D981">
            <v>1.3160000000000001</v>
          </cell>
        </row>
        <row r="982">
          <cell r="A982" t="str">
            <v>A-9B</v>
          </cell>
          <cell r="B982" t="str">
            <v>110MM 2.5KG AGRI PIPE (5METER)</v>
          </cell>
          <cell r="C982" t="str">
            <v>AGRI PIPE</v>
          </cell>
          <cell r="D982">
            <v>4.3</v>
          </cell>
        </row>
        <row r="983">
          <cell r="A983" t="str">
            <v>A-26C</v>
          </cell>
          <cell r="B983" t="str">
            <v>63 MM 4 KG AGRI PIPE (6 Mtr.)</v>
          </cell>
          <cell r="C983" t="str">
            <v>AGRI PIPE</v>
          </cell>
          <cell r="D983">
            <v>3.3</v>
          </cell>
        </row>
        <row r="984">
          <cell r="A984" t="str">
            <v>A-27C</v>
          </cell>
          <cell r="B984" t="str">
            <v>75 MM 4 KG AGRI PIPE  (6 Mtr.)</v>
          </cell>
          <cell r="C984" t="str">
            <v>AGRI PIPE</v>
          </cell>
          <cell r="D984">
            <v>4.7</v>
          </cell>
        </row>
        <row r="985">
          <cell r="A985" t="str">
            <v>A-28C</v>
          </cell>
          <cell r="B985" t="str">
            <v>90 MM 4 KG AGRI PIPE  (6 Mtr.)</v>
          </cell>
          <cell r="C985" t="str">
            <v>AGRI PIPE</v>
          </cell>
          <cell r="D985">
            <v>6.1</v>
          </cell>
        </row>
        <row r="986">
          <cell r="A986" t="str">
            <v>A-29C</v>
          </cell>
          <cell r="B986" t="str">
            <v>110 MM 4 KG AGRI PIPE  (6 Mtr.)</v>
          </cell>
          <cell r="C986" t="str">
            <v>AGRI PIPE</v>
          </cell>
          <cell r="D986">
            <v>8</v>
          </cell>
        </row>
        <row r="987">
          <cell r="A987" t="str">
            <v>A-31C</v>
          </cell>
          <cell r="B987" t="str">
            <v>140 MM 4 KG AGRI PIPE  (6 Mtr.)</v>
          </cell>
          <cell r="C987" t="str">
            <v>AGRI PIPE</v>
          </cell>
          <cell r="D987">
            <v>15.6</v>
          </cell>
        </row>
        <row r="988">
          <cell r="A988" t="str">
            <v>A-32C</v>
          </cell>
          <cell r="B988" t="str">
            <v>160 MM 4 KG AGRI PIPE  (6 Mtr.)</v>
          </cell>
          <cell r="C988" t="str">
            <v>AGRI PIPE</v>
          </cell>
          <cell r="D988">
            <v>18</v>
          </cell>
        </row>
        <row r="989">
          <cell r="A989" t="str">
            <v>A-34C</v>
          </cell>
          <cell r="B989" t="str">
            <v>200MM 4 Kg AGRI PIPE  (6 Mtr.)</v>
          </cell>
          <cell r="C989" t="str">
            <v>AGRI PIPE</v>
          </cell>
          <cell r="D989">
            <v>26.88</v>
          </cell>
        </row>
        <row r="990">
          <cell r="A990" t="str">
            <v>A-44C</v>
          </cell>
          <cell r="B990" t="str">
            <v>40 MM 6 KG AGRI PIPE  (6 Mtr.)</v>
          </cell>
          <cell r="C990" t="str">
            <v>AGRI PIPE</v>
          </cell>
          <cell r="D990">
            <v>1.85</v>
          </cell>
        </row>
        <row r="991">
          <cell r="A991" t="str">
            <v>A-45C</v>
          </cell>
          <cell r="B991" t="str">
            <v>50 MM 6 KG AGRI PIPE  (6 Mtr.)</v>
          </cell>
          <cell r="C991" t="str">
            <v>AGRI PIPE</v>
          </cell>
          <cell r="D991">
            <v>2.8</v>
          </cell>
        </row>
        <row r="992">
          <cell r="A992" t="str">
            <v>A-46C</v>
          </cell>
          <cell r="B992" t="str">
            <v>63 MM 6 KG AGRI PIPE  (6 Mtr.)</v>
          </cell>
          <cell r="C992" t="str">
            <v>AGRI PIPE</v>
          </cell>
          <cell r="D992">
            <v>4</v>
          </cell>
        </row>
        <row r="993">
          <cell r="A993" t="str">
            <v>A-47C</v>
          </cell>
          <cell r="B993" t="str">
            <v>75 MM 6 KG AGRI PIPE  (6 Mtr.)</v>
          </cell>
          <cell r="C993" t="str">
            <v>AGRI PIPE</v>
          </cell>
          <cell r="D993">
            <v>6</v>
          </cell>
        </row>
        <row r="994">
          <cell r="A994" t="str">
            <v>A-48C</v>
          </cell>
          <cell r="B994" t="str">
            <v>90MM 6 Kg AGRI PIPE  (6 Mtr.)</v>
          </cell>
          <cell r="C994" t="str">
            <v>AGRI PIPE</v>
          </cell>
          <cell r="D994">
            <v>8</v>
          </cell>
        </row>
        <row r="995">
          <cell r="A995" t="str">
            <v>A-49C</v>
          </cell>
          <cell r="B995" t="str">
            <v>110MM 6 Kg AGRI PIPE  (6 Mtr.)</v>
          </cell>
          <cell r="C995" t="str">
            <v>AGRI PIPE</v>
          </cell>
          <cell r="D995">
            <v>11.6</v>
          </cell>
        </row>
        <row r="996">
          <cell r="A996" t="str">
            <v>A-50C</v>
          </cell>
          <cell r="B996" t="str">
            <v>125MM 6 Kg AGRI PIPE  (6 Mtr.)</v>
          </cell>
          <cell r="C996" t="str">
            <v>AGRI PIPE</v>
          </cell>
          <cell r="D996">
            <v>16.100000000000001</v>
          </cell>
        </row>
        <row r="997">
          <cell r="A997" t="str">
            <v>A-51C</v>
          </cell>
          <cell r="B997" t="str">
            <v>140MM 6 Kg AGRI PIPE  (6 Mtr.)</v>
          </cell>
          <cell r="C997" t="str">
            <v>AGRI PIPE</v>
          </cell>
          <cell r="D997">
            <v>21.3</v>
          </cell>
        </row>
        <row r="998">
          <cell r="A998" t="str">
            <v>A-52C</v>
          </cell>
          <cell r="B998" t="str">
            <v>160MM 6 Kg AGRI PIPE  (6 Mtr.)</v>
          </cell>
          <cell r="C998" t="str">
            <v>AGRI PIPE</v>
          </cell>
          <cell r="D998">
            <v>23.5</v>
          </cell>
        </row>
        <row r="999">
          <cell r="A999" t="str">
            <v>A-53C</v>
          </cell>
          <cell r="B999" t="str">
            <v>180MM 6 Kg AGRI PIPE  (6 Mtr.)</v>
          </cell>
          <cell r="C999" t="str">
            <v>AGRI PIPE</v>
          </cell>
          <cell r="D999">
            <v>31.92</v>
          </cell>
        </row>
        <row r="1000">
          <cell r="A1000" t="str">
            <v>A-54C</v>
          </cell>
          <cell r="B1000" t="str">
            <v>200MM 6 Kg AGRI PIPE  (6 Mtr.)</v>
          </cell>
          <cell r="C1000" t="str">
            <v>AGRI PIPE</v>
          </cell>
          <cell r="D1000">
            <v>39.618000000000002</v>
          </cell>
        </row>
        <row r="1001">
          <cell r="A1001" t="str">
            <v>A-8C</v>
          </cell>
          <cell r="B1001" t="str">
            <v>90MM 2.5 Kg AGRI PIPE  (6 Mtr.)</v>
          </cell>
          <cell r="C1001" t="str">
            <v>AGRI PIPE</v>
          </cell>
          <cell r="D1001">
            <v>3.56</v>
          </cell>
        </row>
        <row r="1002">
          <cell r="A1002" t="str">
            <v>A-9C</v>
          </cell>
          <cell r="B1002" t="str">
            <v>110MM 2.5 Kg AGRI PIPE  (6 Mtr.)</v>
          </cell>
          <cell r="C1002" t="str">
            <v>AGRI PIPE</v>
          </cell>
          <cell r="D1002">
            <v>5.2679999999999998</v>
          </cell>
        </row>
        <row r="1003">
          <cell r="A1003" t="str">
            <v>A-12C</v>
          </cell>
          <cell r="B1003" t="str">
            <v>AGRI PIPE 2.5KG/cm2 6MTR 160MM</v>
          </cell>
          <cell r="C1003" t="str">
            <v>AGRI PIPE</v>
          </cell>
          <cell r="D1003">
            <v>11.006</v>
          </cell>
        </row>
        <row r="1004">
          <cell r="A1004" t="str">
            <v>A-14C</v>
          </cell>
          <cell r="B1004" t="str">
            <v>AGRI PIPE 2.5KG/cm2 6MTR 200MM</v>
          </cell>
          <cell r="C1004" t="str">
            <v>AGRI PIPE</v>
          </cell>
          <cell r="D1004">
            <v>17.309999999999999</v>
          </cell>
        </row>
        <row r="1005">
          <cell r="A1005" t="str">
            <v>A-81C</v>
          </cell>
          <cell r="B1005" t="str">
            <v>AGRI PIPE 10KG/cm2 6MTR 20MM</v>
          </cell>
          <cell r="C1005" t="str">
            <v>AGRI PIPE</v>
          </cell>
          <cell r="D1005">
            <v>0.62</v>
          </cell>
        </row>
        <row r="1006">
          <cell r="A1006" t="str">
            <v>A-82C</v>
          </cell>
          <cell r="B1006" t="str">
            <v>AGRI PIPE 10KG/cm2 6MTR 25MM</v>
          </cell>
          <cell r="C1006" t="str">
            <v>AGRI PIPE</v>
          </cell>
          <cell r="D1006">
            <v>1.01</v>
          </cell>
        </row>
        <row r="1007">
          <cell r="A1007" t="str">
            <v>A-83C</v>
          </cell>
          <cell r="B1007" t="str">
            <v>AGRI PIPE 10KG/cm2 6MTR 32MM</v>
          </cell>
          <cell r="C1007" t="str">
            <v>AGRI PIPE</v>
          </cell>
          <cell r="D1007">
            <v>1.64</v>
          </cell>
        </row>
        <row r="1008">
          <cell r="A1008" t="str">
            <v>A-88C</v>
          </cell>
          <cell r="B1008" t="str">
            <v>90MM 10 Kg AGRI PIPE  (6 Mtr.)</v>
          </cell>
          <cell r="C1008" t="str">
            <v>AGRI PIPE</v>
          </cell>
          <cell r="D1008">
            <v>12.6</v>
          </cell>
        </row>
        <row r="1009">
          <cell r="A1009" t="str">
            <v>A-89C</v>
          </cell>
          <cell r="B1009" t="str">
            <v>110MM 10 Kg AGRI PIPE  (6 Mtr.)</v>
          </cell>
          <cell r="C1009" t="str">
            <v>AGRI PIPE</v>
          </cell>
          <cell r="D1009">
            <v>19.04</v>
          </cell>
        </row>
        <row r="1010">
          <cell r="A1010" t="str">
            <v>A-92C</v>
          </cell>
          <cell r="B1010" t="str">
            <v>AGRI PIPE 10KG/cm2 6MTR 160MM</v>
          </cell>
          <cell r="C1010" t="str">
            <v>AGRI PIPE</v>
          </cell>
          <cell r="D1010">
            <v>40.01</v>
          </cell>
        </row>
        <row r="1011">
          <cell r="A1011" t="str">
            <v>WT-3LL-05</v>
          </cell>
          <cell r="B1011" t="str">
            <v>Water Tank 3 layer Light 500 Ltr.</v>
          </cell>
          <cell r="C1011" t="str">
            <v xml:space="preserve">WATER TANK </v>
          </cell>
          <cell r="D1011">
            <v>11.5</v>
          </cell>
        </row>
        <row r="1012">
          <cell r="A1012" t="str">
            <v>WT-3LL-07</v>
          </cell>
          <cell r="B1012" t="str">
            <v>Water Tank 3 layer Light 750 Ltr.</v>
          </cell>
          <cell r="C1012" t="str">
            <v xml:space="preserve">WATER TANK </v>
          </cell>
          <cell r="D1012">
            <v>18</v>
          </cell>
        </row>
        <row r="1013">
          <cell r="A1013" t="str">
            <v>WT-3LL-10</v>
          </cell>
          <cell r="B1013" t="str">
            <v>Water Tank 3 layer Light 1000 Ltr.</v>
          </cell>
          <cell r="C1013" t="str">
            <v xml:space="preserve">WATER TANK </v>
          </cell>
          <cell r="D1013">
            <v>22.5</v>
          </cell>
        </row>
        <row r="1014">
          <cell r="A1014" t="str">
            <v>WT-3LL-15</v>
          </cell>
          <cell r="B1014" t="str">
            <v>Water Tank 3 layer Light 1500 Ltr.</v>
          </cell>
          <cell r="C1014" t="str">
            <v xml:space="preserve">WATER TANK </v>
          </cell>
          <cell r="D1014">
            <v>32.200000000000003</v>
          </cell>
        </row>
        <row r="1015">
          <cell r="A1015" t="str">
            <v>WT-3LL-20</v>
          </cell>
          <cell r="B1015" t="str">
            <v>Water Tank 3 layer Light 2000 Ltr.</v>
          </cell>
          <cell r="C1015" t="str">
            <v xml:space="preserve">WATER TANK </v>
          </cell>
          <cell r="D1015">
            <v>41.7</v>
          </cell>
        </row>
        <row r="1016">
          <cell r="A1016" t="str">
            <v>WT-3LL-30</v>
          </cell>
          <cell r="B1016" t="str">
            <v>Water Tank 3 layer Light 3000 Ltr.</v>
          </cell>
          <cell r="C1016" t="str">
            <v xml:space="preserve">WATER TANK </v>
          </cell>
          <cell r="D1016">
            <v>63.7</v>
          </cell>
        </row>
        <row r="1017">
          <cell r="A1017" t="str">
            <v>WT-3LL-50</v>
          </cell>
          <cell r="B1017" t="str">
            <v>Water Tank 3 layer Light 5000 Ltr.</v>
          </cell>
          <cell r="C1017" t="str">
            <v xml:space="preserve">WATER TANK </v>
          </cell>
          <cell r="D1017">
            <v>104.7</v>
          </cell>
        </row>
        <row r="1018">
          <cell r="A1018" t="str">
            <v>WT-3LH-05</v>
          </cell>
          <cell r="B1018" t="str">
            <v>Water Tank 3 layer heavy  500 Ltr.</v>
          </cell>
          <cell r="C1018" t="str">
            <v xml:space="preserve">WATER TANK </v>
          </cell>
          <cell r="D1018">
            <v>13.5</v>
          </cell>
        </row>
        <row r="1019">
          <cell r="A1019" t="str">
            <v>WT-3LH-07</v>
          </cell>
          <cell r="B1019" t="str">
            <v>Water Tank 3 layer heavy  750 Ltr.</v>
          </cell>
          <cell r="C1019" t="str">
            <v xml:space="preserve">WATER TANK </v>
          </cell>
          <cell r="D1019">
            <v>2.5</v>
          </cell>
        </row>
        <row r="1020">
          <cell r="A1020" t="str">
            <v>WT-3LH-10</v>
          </cell>
          <cell r="B1020" t="str">
            <v>Water Tank 3 layer heavy  1000 Ltr.</v>
          </cell>
          <cell r="C1020" t="str">
            <v xml:space="preserve">WATER TANK </v>
          </cell>
          <cell r="D1020">
            <v>25.5</v>
          </cell>
        </row>
        <row r="1021">
          <cell r="A1021" t="str">
            <v>WT-3LH-15</v>
          </cell>
          <cell r="B1021" t="str">
            <v>Water Tank 3 layer heavy  1500 Ltr.</v>
          </cell>
          <cell r="C1021" t="str">
            <v xml:space="preserve">WATER TANK </v>
          </cell>
          <cell r="D1021">
            <v>38.700000000000003</v>
          </cell>
        </row>
        <row r="1022">
          <cell r="A1022" t="str">
            <v>WT-3LH-20</v>
          </cell>
          <cell r="B1022" t="str">
            <v>Water Tank 3 layer heavy  2000 Ltr.</v>
          </cell>
          <cell r="C1022" t="str">
            <v xml:space="preserve">WATER TANK </v>
          </cell>
          <cell r="D1022">
            <v>50.7</v>
          </cell>
        </row>
        <row r="1023">
          <cell r="A1023" t="str">
            <v>WT-3LH-30</v>
          </cell>
          <cell r="B1023" t="str">
            <v>Water Tank 3 layer heavy  3000 Ltr.</v>
          </cell>
          <cell r="C1023" t="str">
            <v xml:space="preserve">WATER TANK </v>
          </cell>
          <cell r="D1023">
            <v>73.7</v>
          </cell>
        </row>
        <row r="1024">
          <cell r="A1024" t="str">
            <v>WT-3LH-50</v>
          </cell>
          <cell r="B1024" t="str">
            <v>Water Tank 3 layer heavy  5000 Ltr.</v>
          </cell>
          <cell r="C1024" t="str">
            <v xml:space="preserve">WATER TANK </v>
          </cell>
          <cell r="D1024">
            <v>122.7</v>
          </cell>
        </row>
        <row r="1025">
          <cell r="A1025" t="str">
            <v>WT-4LL-05</v>
          </cell>
          <cell r="B1025" t="str">
            <v>Water Tank 4 layer Light 500 Ltr.</v>
          </cell>
          <cell r="C1025" t="str">
            <v xml:space="preserve">WATER TANK </v>
          </cell>
          <cell r="D1025">
            <v>13</v>
          </cell>
        </row>
        <row r="1026">
          <cell r="A1026" t="str">
            <v>WT-4LL-07</v>
          </cell>
          <cell r="B1026" t="str">
            <v>Water Tank 4 layer Light 750 Ltr.</v>
          </cell>
          <cell r="C1026" t="str">
            <v xml:space="preserve">WATER TANK </v>
          </cell>
          <cell r="D1026">
            <v>20.5</v>
          </cell>
        </row>
        <row r="1027">
          <cell r="A1027" t="str">
            <v>WT-4LL-10</v>
          </cell>
          <cell r="B1027" t="str">
            <v>Water Tank 4 layer Light 1000 Ltr.</v>
          </cell>
          <cell r="C1027" t="str">
            <v xml:space="preserve">WATER TANK </v>
          </cell>
          <cell r="D1027">
            <v>25.5</v>
          </cell>
        </row>
        <row r="1028">
          <cell r="A1028" t="str">
            <v>WT-4LL-15</v>
          </cell>
          <cell r="B1028" t="str">
            <v>Water Tank 4 layer Light 1500 Ltr.</v>
          </cell>
          <cell r="C1028" t="str">
            <v xml:space="preserve">WATER TANK </v>
          </cell>
          <cell r="D1028">
            <v>38.700000000000003</v>
          </cell>
        </row>
        <row r="1029">
          <cell r="A1029" t="str">
            <v>WT-4LL-20</v>
          </cell>
          <cell r="B1029" t="str">
            <v>Water Tank 4 layer Light 2000 Ltr.</v>
          </cell>
          <cell r="C1029" t="str">
            <v xml:space="preserve">WATER TANK </v>
          </cell>
          <cell r="D1029">
            <v>52.7</v>
          </cell>
        </row>
        <row r="1030">
          <cell r="A1030" t="str">
            <v>WT-4LL-30</v>
          </cell>
          <cell r="B1030" t="str">
            <v>Water Tank 4 layer Light 3000 Ltr.</v>
          </cell>
          <cell r="C1030" t="str">
            <v xml:space="preserve">WATER TANK </v>
          </cell>
          <cell r="D1030">
            <v>75.7</v>
          </cell>
        </row>
        <row r="1031">
          <cell r="A1031" t="str">
            <v>WT-4LL-50</v>
          </cell>
          <cell r="B1031" t="str">
            <v>Water Tank 4 layer Light 5000 Ltr.</v>
          </cell>
          <cell r="C1031" t="str">
            <v xml:space="preserve">WATER TANK </v>
          </cell>
          <cell r="D1031">
            <v>125.7</v>
          </cell>
        </row>
        <row r="1032">
          <cell r="A1032" t="str">
            <v>WT-4LH-05</v>
          </cell>
          <cell r="B1032" t="str">
            <v>Water Tank 4 layer heavy  500 Ltr.</v>
          </cell>
          <cell r="C1032" t="str">
            <v xml:space="preserve">WATER TANK </v>
          </cell>
          <cell r="D1032">
            <v>16</v>
          </cell>
        </row>
        <row r="1033">
          <cell r="A1033" t="str">
            <v>WT-4LH-07</v>
          </cell>
          <cell r="B1033" t="str">
            <v>Water Tank 4 layer heavy  750 Ltr.</v>
          </cell>
          <cell r="C1033" t="str">
            <v xml:space="preserve">WATER TANK </v>
          </cell>
          <cell r="D1033">
            <v>23.5</v>
          </cell>
        </row>
        <row r="1034">
          <cell r="A1034" t="str">
            <v>WT-4LH-10</v>
          </cell>
          <cell r="B1034" t="str">
            <v>Water Tank 4 layer heavy  1000 Ltr.</v>
          </cell>
          <cell r="C1034" t="str">
            <v xml:space="preserve">WATER TANK </v>
          </cell>
          <cell r="D1034">
            <v>29.5</v>
          </cell>
        </row>
        <row r="1035">
          <cell r="A1035" t="str">
            <v>WT-4LH-15</v>
          </cell>
          <cell r="B1035" t="str">
            <v>Water Tank 4 layer heavy  1500 Ltr.</v>
          </cell>
          <cell r="C1035" t="str">
            <v xml:space="preserve">WATER TANK </v>
          </cell>
          <cell r="D1035">
            <v>44.7</v>
          </cell>
        </row>
        <row r="1036">
          <cell r="A1036" t="str">
            <v>WT-4LH-20</v>
          </cell>
          <cell r="B1036" t="str">
            <v>Water Tank 4 layer heavy  2000 Ltr.</v>
          </cell>
          <cell r="C1036" t="str">
            <v xml:space="preserve">WATER TANK </v>
          </cell>
          <cell r="D1036">
            <v>57.7</v>
          </cell>
        </row>
        <row r="1037">
          <cell r="A1037" t="str">
            <v>WT-4LH-30</v>
          </cell>
          <cell r="B1037" t="str">
            <v>Water Tank 4 layer heavy  3000 Ltr.</v>
          </cell>
          <cell r="C1037" t="str">
            <v xml:space="preserve">WATER TANK </v>
          </cell>
          <cell r="D1037">
            <v>84.7</v>
          </cell>
        </row>
        <row r="1038">
          <cell r="A1038" t="str">
            <v>WT-4LH-50</v>
          </cell>
          <cell r="B1038" t="str">
            <v>Water Tank 4 layer heavy  5000 Ltr.</v>
          </cell>
          <cell r="C1038" t="str">
            <v xml:space="preserve">WATER TANK </v>
          </cell>
          <cell r="D1038">
            <v>139.69999999999999</v>
          </cell>
        </row>
        <row r="1039">
          <cell r="A1039" t="str">
            <v>WT-ISI-05</v>
          </cell>
          <cell r="B1039" t="str">
            <v>Water Tank 2 layer ISI  500 Ltr.</v>
          </cell>
          <cell r="C1039" t="str">
            <v xml:space="preserve">WATER TANK </v>
          </cell>
          <cell r="D1039">
            <v>18.5</v>
          </cell>
        </row>
        <row r="1040">
          <cell r="A1040" t="str">
            <v>WT-ISI-07</v>
          </cell>
          <cell r="B1040" t="str">
            <v>Water Tank 2 layer ISI  700 Ltr.</v>
          </cell>
          <cell r="C1040" t="str">
            <v xml:space="preserve">WATER TANK </v>
          </cell>
          <cell r="D1040">
            <v>24.5</v>
          </cell>
        </row>
        <row r="1041">
          <cell r="A1041" t="str">
            <v>WT-ISI-10</v>
          </cell>
          <cell r="B1041" t="str">
            <v>Water Tank 2 layer ISI  1000 Ltr.</v>
          </cell>
          <cell r="C1041" t="str">
            <v xml:space="preserve">WATER TANK </v>
          </cell>
          <cell r="D1041">
            <v>33.5</v>
          </cell>
        </row>
        <row r="1042">
          <cell r="A1042" t="str">
            <v>WT-ISI-15</v>
          </cell>
          <cell r="B1042" t="str">
            <v>Water Tank 2 layer ISI  1500 Ltr.</v>
          </cell>
          <cell r="C1042" t="str">
            <v xml:space="preserve">WATER TANK </v>
          </cell>
          <cell r="D1042">
            <v>47.5</v>
          </cell>
        </row>
        <row r="1043">
          <cell r="A1043" t="str">
            <v>WT-ISI-20</v>
          </cell>
          <cell r="B1043" t="str">
            <v>Water Tank 2 layer ISI  2000 Ltr.</v>
          </cell>
          <cell r="C1043" t="str">
            <v xml:space="preserve">WATER TANK </v>
          </cell>
          <cell r="D1043">
            <v>64.5</v>
          </cell>
        </row>
        <row r="1044">
          <cell r="A1044" t="str">
            <v>WT-ISI-30</v>
          </cell>
          <cell r="B1044" t="str">
            <v>Water Tank 2 layer ISI  3000 Ltr.</v>
          </cell>
          <cell r="C1044" t="str">
            <v xml:space="preserve">WATER TANK </v>
          </cell>
          <cell r="D1044">
            <v>96.5</v>
          </cell>
        </row>
        <row r="1045">
          <cell r="A1045" t="str">
            <v>WT-ISI-50</v>
          </cell>
          <cell r="B1045" t="str">
            <v>Water Tank 2 layer ISI  5000 Ltr.</v>
          </cell>
          <cell r="C1045" t="str">
            <v xml:space="preserve">WATER TANK </v>
          </cell>
          <cell r="D1045">
            <v>180.5</v>
          </cell>
        </row>
        <row r="1046">
          <cell r="A1046" t="str">
            <v>WT-001</v>
          </cell>
          <cell r="B1046" t="str">
            <v>Plastic lid heavy</v>
          </cell>
          <cell r="C1046" t="str">
            <v xml:space="preserve">WATER TANK </v>
          </cell>
          <cell r="D1046">
            <v>0</v>
          </cell>
        </row>
        <row r="1047">
          <cell r="A1047" t="str">
            <v>WT-002</v>
          </cell>
          <cell r="B1047" t="str">
            <v>Plastic lid Light</v>
          </cell>
          <cell r="C1047" t="str">
            <v xml:space="preserve">WATER TANK </v>
          </cell>
          <cell r="D1047">
            <v>0</v>
          </cell>
        </row>
        <row r="1048">
          <cell r="A1048" t="str">
            <v>S1</v>
          </cell>
          <cell r="B1048" t="str">
            <v>20 ML TUBES</v>
          </cell>
          <cell r="C1048" t="str">
            <v>CPVC-TRADING</v>
          </cell>
          <cell r="D1048">
            <v>16.309999999999999</v>
          </cell>
        </row>
        <row r="1049">
          <cell r="A1049" t="str">
            <v>S2</v>
          </cell>
          <cell r="B1049" t="str">
            <v>50 ML TUBES</v>
          </cell>
          <cell r="C1049" t="str">
            <v>CPVC-TRADING</v>
          </cell>
          <cell r="D1049">
            <v>19.5</v>
          </cell>
        </row>
        <row r="1050">
          <cell r="A1050" t="str">
            <v>S3</v>
          </cell>
          <cell r="B1050" t="str">
            <v>CPVC SOLVENT CEMENT 59 ML TIN</v>
          </cell>
          <cell r="C1050" t="str">
            <v>CPVC-TRADING</v>
          </cell>
          <cell r="D1050">
            <v>30</v>
          </cell>
        </row>
        <row r="1051">
          <cell r="A1051" t="str">
            <v>S4</v>
          </cell>
          <cell r="B1051" t="str">
            <v>04 OZ/118 ML TINS</v>
          </cell>
          <cell r="C1051" t="str">
            <v>CPVC-TRADING</v>
          </cell>
          <cell r="D1051">
            <v>23.86</v>
          </cell>
        </row>
        <row r="1052">
          <cell r="A1052" t="str">
            <v>S5</v>
          </cell>
          <cell r="B1052" t="str">
            <v>08 OZ/237 ML TINS</v>
          </cell>
          <cell r="C1052" t="str">
            <v>CPVC-TRADING</v>
          </cell>
          <cell r="D1052">
            <v>29</v>
          </cell>
        </row>
        <row r="1053">
          <cell r="A1053" t="str">
            <v>S6</v>
          </cell>
          <cell r="B1053" t="str">
            <v>16 OZ/473 ML TINS</v>
          </cell>
          <cell r="C1053" t="str">
            <v>CPVC-TRADING</v>
          </cell>
          <cell r="D1053">
            <v>27</v>
          </cell>
        </row>
        <row r="1054">
          <cell r="A1054" t="str">
            <v>S7</v>
          </cell>
          <cell r="B1054" t="str">
            <v>32 OZ/946 ML TINS</v>
          </cell>
          <cell r="C1054" t="str">
            <v>CPVC-TRADING</v>
          </cell>
          <cell r="D1054">
            <v>29</v>
          </cell>
        </row>
        <row r="1055">
          <cell r="A1055" t="str">
            <v>EWS 03</v>
          </cell>
          <cell r="B1055" t="str">
            <v>59 Ml Cpvc Solvent Cement</v>
          </cell>
          <cell r="C1055" t="str">
            <v>CPVC-TRADING</v>
          </cell>
          <cell r="D1055">
            <v>30</v>
          </cell>
        </row>
        <row r="1056">
          <cell r="A1056" t="str">
            <v>EWS04</v>
          </cell>
          <cell r="B1056" t="str">
            <v>CPVC SOLVENT -118ML-TIN (PR)</v>
          </cell>
          <cell r="C1056" t="str">
            <v>CPVC-TRADING</v>
          </cell>
          <cell r="D1056">
            <v>24</v>
          </cell>
        </row>
        <row r="1057">
          <cell r="A1057" t="str">
            <v>EWS05</v>
          </cell>
          <cell r="B1057" t="str">
            <v>CPVC SOLVENT -237ML-TIN (PR)</v>
          </cell>
          <cell r="C1057" t="str">
            <v>CPVC-TRADING</v>
          </cell>
          <cell r="D1057">
            <v>29</v>
          </cell>
        </row>
        <row r="1058">
          <cell r="A1058" t="str">
            <v>EWS 06</v>
          </cell>
          <cell r="B1058" t="str">
            <v>437 ML CPVC SOLVENT CEMENT</v>
          </cell>
          <cell r="C1058" t="str">
            <v>CPVC-TRADING</v>
          </cell>
          <cell r="D1058">
            <v>27</v>
          </cell>
        </row>
        <row r="1059">
          <cell r="A1059" t="str">
            <v>pc21</v>
          </cell>
          <cell r="B1059" t="str">
            <v>1/2" HEAVY SADDLE WITH POWDER COATING</v>
          </cell>
          <cell r="C1059" t="str">
            <v>CPVC-TRADING</v>
          </cell>
          <cell r="D1059">
            <v>23.12</v>
          </cell>
        </row>
        <row r="1060">
          <cell r="A1060" t="str">
            <v>pc22</v>
          </cell>
          <cell r="B1060" t="str">
            <v>3/4" HEAVY SADDLE WITH POWDER COATING</v>
          </cell>
          <cell r="C1060" t="str">
            <v>CPVC-TRADING</v>
          </cell>
          <cell r="D1060">
            <v>23.25</v>
          </cell>
        </row>
        <row r="1061">
          <cell r="A1061" t="str">
            <v>pc23</v>
          </cell>
          <cell r="B1061" t="str">
            <v>1" HEAVY SADDLE WITH POWDER COATING</v>
          </cell>
          <cell r="C1061" t="str">
            <v>CPVC-TRADING</v>
          </cell>
          <cell r="D1061">
            <v>27.06</v>
          </cell>
        </row>
        <row r="1062">
          <cell r="A1062" t="str">
            <v>pc24</v>
          </cell>
          <cell r="B1062" t="str">
            <v>1-1/4" HEAVY SADDLE WITH POWDER COATING</v>
          </cell>
          <cell r="C1062" t="str">
            <v>CPVC-TRADING</v>
          </cell>
          <cell r="D1062">
            <v>31.36</v>
          </cell>
        </row>
        <row r="1063">
          <cell r="A1063" t="str">
            <v>pc25</v>
          </cell>
          <cell r="B1063" t="str">
            <v>1-1/2" HEAVY SADDLE WITH POWDER COATING</v>
          </cell>
          <cell r="C1063" t="str">
            <v>CPVC-TRADING</v>
          </cell>
          <cell r="D1063">
            <v>28.23</v>
          </cell>
        </row>
        <row r="1064">
          <cell r="A1064" t="str">
            <v>pc26</v>
          </cell>
          <cell r="B1064" t="str">
            <v>2" HEAVY SADDLE WITH POWDER COATING</v>
          </cell>
          <cell r="C1064" t="str">
            <v>CPVC-TRADING</v>
          </cell>
          <cell r="D1064">
            <v>28.03</v>
          </cell>
        </row>
        <row r="1065">
          <cell r="A1065" t="str">
            <v>pc31</v>
          </cell>
          <cell r="B1065" t="str">
            <v>1/2" HEAVY SADDLE ZINC PLATED</v>
          </cell>
          <cell r="C1065" t="str">
            <v>CPVC-TRADING</v>
          </cell>
          <cell r="D1065">
            <v>42</v>
          </cell>
        </row>
        <row r="1066">
          <cell r="A1066" t="str">
            <v>pc32</v>
          </cell>
          <cell r="B1066" t="str">
            <v>3/4" HEAVY SADDLE ZINC PLATED</v>
          </cell>
          <cell r="C1066" t="str">
            <v>CPVC-TRADING</v>
          </cell>
          <cell r="D1066">
            <v>26.86</v>
          </cell>
        </row>
        <row r="1067">
          <cell r="A1067" t="str">
            <v>pc33</v>
          </cell>
          <cell r="B1067" t="str">
            <v>1" HEAVY SADDLE ZINC PLATED</v>
          </cell>
          <cell r="C1067" t="str">
            <v>CPVC-TRADING</v>
          </cell>
          <cell r="D1067">
            <v>30.64</v>
          </cell>
        </row>
        <row r="1068">
          <cell r="A1068" t="str">
            <v>pc34</v>
          </cell>
          <cell r="B1068" t="str">
            <v>1-1/4" HEAVY SADDLE ZINC PLATED</v>
          </cell>
          <cell r="C1068" t="str">
            <v>CPVC-TRADING</v>
          </cell>
          <cell r="D1068">
            <v>30</v>
          </cell>
        </row>
        <row r="1069">
          <cell r="A1069" t="str">
            <v>pc35</v>
          </cell>
          <cell r="B1069" t="str">
            <v>1-1/2" HEAVY SADDLE ZINC PLATED</v>
          </cell>
          <cell r="C1069" t="str">
            <v>CPVC-TRADING</v>
          </cell>
          <cell r="D1069">
            <v>27.25</v>
          </cell>
        </row>
        <row r="1070">
          <cell r="A1070" t="str">
            <v>pc36</v>
          </cell>
          <cell r="B1070" t="str">
            <v>2" HEAVY SADDLE ZINC PLATED</v>
          </cell>
          <cell r="C1070" t="str">
            <v>CPVC-TRADING</v>
          </cell>
          <cell r="D1070">
            <v>16.309999999999999</v>
          </cell>
        </row>
        <row r="1071">
          <cell r="A1071" t="str">
            <v>EWS 13</v>
          </cell>
          <cell r="B1071" t="str">
            <v>59ML Upvc Solvent Cement</v>
          </cell>
          <cell r="C1071" t="str">
            <v>UPVC-TRADING</v>
          </cell>
          <cell r="D1071">
            <v>30</v>
          </cell>
        </row>
        <row r="1072">
          <cell r="A1072" t="str">
            <v>EWS 14</v>
          </cell>
          <cell r="B1072" t="str">
            <v>118 Ml Upvc Solvent Cement</v>
          </cell>
          <cell r="C1072" t="str">
            <v>UPVC-TRADING</v>
          </cell>
          <cell r="D1072">
            <v>26</v>
          </cell>
        </row>
        <row r="1073">
          <cell r="A1073" t="str">
            <v>EWS 15</v>
          </cell>
          <cell r="B1073" t="str">
            <v>237 Ml Upvc Solvent Cement</v>
          </cell>
          <cell r="C1073" t="str">
            <v>UPVC-TRADING</v>
          </cell>
          <cell r="D1073">
            <v>26</v>
          </cell>
        </row>
        <row r="1074">
          <cell r="A1074" t="str">
            <v>S11</v>
          </cell>
          <cell r="B1074" t="str">
            <v>UPVC SOLVENT AQUA CLEAR 20 ML TUBE</v>
          </cell>
          <cell r="C1074" t="str">
            <v>UPVC-TRADING</v>
          </cell>
          <cell r="D1074">
            <v>16.3</v>
          </cell>
        </row>
        <row r="1075">
          <cell r="A1075" t="str">
            <v>S12</v>
          </cell>
          <cell r="B1075" t="str">
            <v>50 ML TUBES</v>
          </cell>
          <cell r="C1075" t="str">
            <v>UPVC-TRADING</v>
          </cell>
          <cell r="D1075">
            <v>20</v>
          </cell>
        </row>
        <row r="1076">
          <cell r="A1076" t="str">
            <v>S13</v>
          </cell>
          <cell r="B1076" t="str">
            <v>UPVC SOLVENT CEMENT 59 ML TIN</v>
          </cell>
          <cell r="C1076" t="str">
            <v>UPVC-TRADING</v>
          </cell>
          <cell r="D1076">
            <v>30</v>
          </cell>
        </row>
        <row r="1077">
          <cell r="A1077" t="str">
            <v>S14</v>
          </cell>
          <cell r="B1077" t="str">
            <v>04 OZ/118 ML TINS</v>
          </cell>
          <cell r="C1077" t="str">
            <v>UPVC-TRADING</v>
          </cell>
          <cell r="D1077">
            <v>24</v>
          </cell>
        </row>
        <row r="1078">
          <cell r="A1078" t="str">
            <v>S15</v>
          </cell>
          <cell r="B1078" t="str">
            <v>08 OZ/237 ML TINS</v>
          </cell>
          <cell r="C1078" t="str">
            <v>UPVC-TRADING</v>
          </cell>
          <cell r="D1078">
            <v>25.63</v>
          </cell>
        </row>
        <row r="1079">
          <cell r="A1079" t="str">
            <v>S16</v>
          </cell>
          <cell r="B1079" t="str">
            <v>16 OZ/473 ML TINS</v>
          </cell>
          <cell r="C1079" t="str">
            <v>UPVC-TRADING</v>
          </cell>
          <cell r="D1079">
            <v>24.8</v>
          </cell>
        </row>
        <row r="1080">
          <cell r="A1080" t="str">
            <v>S17</v>
          </cell>
          <cell r="B1080" t="str">
            <v>32 OZ/946 ML TINS</v>
          </cell>
          <cell r="C1080" t="str">
            <v>UPVC-TRADING</v>
          </cell>
          <cell r="D1080">
            <v>26</v>
          </cell>
        </row>
        <row r="1081">
          <cell r="A1081" t="str">
            <v>S34</v>
          </cell>
          <cell r="B1081" t="str">
            <v>UPVC SOLVENT ( MD) BLUE-118ML-TIN</v>
          </cell>
          <cell r="C1081" t="str">
            <v>UPVC-TRADING</v>
          </cell>
          <cell r="D1081">
            <v>24</v>
          </cell>
        </row>
        <row r="1082">
          <cell r="A1082" t="str">
            <v>S35</v>
          </cell>
          <cell r="B1082" t="str">
            <v>UPVC SOLVENT ( MD) BLUE-237ML-TIN</v>
          </cell>
          <cell r="C1082" t="str">
            <v>UPVC-TRADING</v>
          </cell>
          <cell r="D1082">
            <v>26</v>
          </cell>
        </row>
        <row r="1083">
          <cell r="A1083" t="str">
            <v>UC1</v>
          </cell>
          <cell r="B1083" t="str">
            <v>1/2" HEAVY SADDLE WITH POWDER COATING</v>
          </cell>
          <cell r="C1083" t="str">
            <v>UPVC-TRADING</v>
          </cell>
          <cell r="D1083">
            <v>18.41</v>
          </cell>
        </row>
        <row r="1084">
          <cell r="A1084" t="str">
            <v>UC2</v>
          </cell>
          <cell r="B1084" t="str">
            <v>3/4" HEAVY SADDLE WITH POWDER COATING</v>
          </cell>
          <cell r="C1084" t="str">
            <v>UPVC-TRADING</v>
          </cell>
          <cell r="D1084">
            <v>21.01</v>
          </cell>
        </row>
        <row r="1085">
          <cell r="A1085" t="str">
            <v>UC3</v>
          </cell>
          <cell r="B1085" t="str">
            <v>1" HEAVY SADDLE WITH POWDER COATING</v>
          </cell>
          <cell r="C1085" t="str">
            <v>UPVC-TRADING</v>
          </cell>
          <cell r="D1085">
            <v>18.72</v>
          </cell>
        </row>
        <row r="1086">
          <cell r="A1086" t="str">
            <v>UC4</v>
          </cell>
          <cell r="B1086" t="str">
            <v>1-1/4" HEAVY SADDLE WITH POWDER COATING</v>
          </cell>
          <cell r="C1086" t="str">
            <v>UPVC-TRADING</v>
          </cell>
          <cell r="D1086">
            <v>22.17</v>
          </cell>
        </row>
        <row r="1087">
          <cell r="A1087" t="str">
            <v>UC5</v>
          </cell>
          <cell r="B1087" t="str">
            <v>1-1/2" HEAVY SADDLE WITH POWDER COATING</v>
          </cell>
          <cell r="C1087" t="str">
            <v>UPVC-TRADING</v>
          </cell>
          <cell r="D1087">
            <v>24.43</v>
          </cell>
        </row>
        <row r="1088">
          <cell r="A1088" t="str">
            <v>UC6</v>
          </cell>
          <cell r="B1088" t="str">
            <v>2" HEAVY SADDLE WITH POWDER COATING</v>
          </cell>
          <cell r="C1088" t="str">
            <v>UPVC-TRADING</v>
          </cell>
          <cell r="D1088">
            <v>23.14</v>
          </cell>
        </row>
        <row r="1089">
          <cell r="A1089" t="str">
            <v>UC11</v>
          </cell>
          <cell r="B1089" t="str">
            <v>1/2" HEAVY SADDLE ZINC PLATED</v>
          </cell>
          <cell r="C1089" t="str">
            <v>UPVC-TRADING</v>
          </cell>
          <cell r="D1089">
            <v>30</v>
          </cell>
        </row>
        <row r="1090">
          <cell r="A1090" t="str">
            <v>UC12</v>
          </cell>
          <cell r="B1090" t="str">
            <v>3/4" HEAVY SADDLE ZINC PLATED</v>
          </cell>
          <cell r="C1090" t="str">
            <v>UPVC-TRADING</v>
          </cell>
          <cell r="D1090">
            <v>29.85</v>
          </cell>
        </row>
        <row r="1091">
          <cell r="A1091" t="str">
            <v>UC13</v>
          </cell>
          <cell r="B1091" t="str">
            <v>1" HEAVY SADDLE ZINC PLATED</v>
          </cell>
          <cell r="C1091" t="str">
            <v>UPVC-TRADING</v>
          </cell>
          <cell r="D1091">
            <v>28.9</v>
          </cell>
        </row>
        <row r="1092">
          <cell r="A1092" t="str">
            <v>UC14</v>
          </cell>
          <cell r="B1092" t="str">
            <v>1-1/4" HEAVY SADDLE ZINC PLATED</v>
          </cell>
          <cell r="C1092" t="str">
            <v>UPVC-TRADING</v>
          </cell>
          <cell r="D1092">
            <v>27.4</v>
          </cell>
        </row>
        <row r="1093">
          <cell r="A1093" t="str">
            <v>UC15</v>
          </cell>
          <cell r="B1093" t="str">
            <v>1-1/2" HEAVY SADDLE ZINC PLATED</v>
          </cell>
          <cell r="C1093" t="str">
            <v>UPVC-TRADING</v>
          </cell>
          <cell r="D1093">
            <v>30.39</v>
          </cell>
        </row>
        <row r="1094">
          <cell r="A1094" t="str">
            <v>UC16</v>
          </cell>
          <cell r="B1094" t="str">
            <v>2" HEAVY SADDLE ZINC PLATED</v>
          </cell>
          <cell r="C1094" t="str">
            <v>UPVC-TRADING</v>
          </cell>
          <cell r="D1094">
            <v>29.25</v>
          </cell>
        </row>
        <row r="1095">
          <cell r="A1095" t="str">
            <v>EWS 45</v>
          </cell>
          <cell r="B1095" t="str">
            <v>250 Ml Pvc Solvent Cement</v>
          </cell>
          <cell r="C1095" t="str">
            <v>Agri-Trading</v>
          </cell>
          <cell r="D1095">
            <v>30</v>
          </cell>
        </row>
        <row r="1096">
          <cell r="A1096" t="str">
            <v>S45</v>
          </cell>
          <cell r="B1096" t="str">
            <v>250 ML TIN PVC SOLVENT CEMENT</v>
          </cell>
          <cell r="C1096" t="str">
            <v>Agri-Trading</v>
          </cell>
          <cell r="D1096">
            <v>20</v>
          </cell>
        </row>
        <row r="1097">
          <cell r="A1097" t="str">
            <v>S46</v>
          </cell>
          <cell r="B1097" t="str">
            <v>500 ML TIN PVC SOLVENT CEMENT</v>
          </cell>
          <cell r="C1097" t="str">
            <v>Agri-Trading</v>
          </cell>
          <cell r="D1097">
            <v>20</v>
          </cell>
        </row>
        <row r="1098">
          <cell r="A1098" t="str">
            <v>S47</v>
          </cell>
          <cell r="B1098" t="str">
            <v>1000 ML TIN PVC SOLVENT CEMENT</v>
          </cell>
          <cell r="C1098" t="str">
            <v>Agri-Trading</v>
          </cell>
          <cell r="D1098">
            <v>20</v>
          </cell>
        </row>
        <row r="1099">
          <cell r="A1099" t="str">
            <v>RL-2</v>
          </cell>
          <cell r="B1099" t="str">
            <v>RUBBER LUBRICANT 100g</v>
          </cell>
          <cell r="C1099" t="str">
            <v>SWR-TRADING</v>
          </cell>
          <cell r="D1099">
            <v>16</v>
          </cell>
        </row>
        <row r="1100">
          <cell r="A1100" t="str">
            <v>RL-3</v>
          </cell>
          <cell r="B1100" t="str">
            <v>RUBBER LUBRICANT 250g</v>
          </cell>
          <cell r="C1100" t="str">
            <v>SWR-TRADING</v>
          </cell>
          <cell r="D1100">
            <v>16</v>
          </cell>
        </row>
        <row r="1101">
          <cell r="A1101" t="str">
            <v>RL-4</v>
          </cell>
          <cell r="B1101" t="str">
            <v>RUBBER LUBRICANT 500g</v>
          </cell>
          <cell r="C1101" t="str">
            <v>SWR-TRADING</v>
          </cell>
          <cell r="D1101">
            <v>16</v>
          </cell>
        </row>
        <row r="1102">
          <cell r="A1102" t="str">
            <v>A-504</v>
          </cell>
          <cell r="B1102" t="str">
            <v>ELBOW 45- 6 KG, 63MM AGRI</v>
          </cell>
          <cell r="C1102" t="str">
            <v>AGRI FITTING</v>
          </cell>
          <cell r="D1102">
            <v>120</v>
          </cell>
        </row>
        <row r="1103">
          <cell r="A1103" t="str">
            <v>A-503</v>
          </cell>
          <cell r="B1103" t="str">
            <v>ELBOW 45- 6 KG, 50MM AGRI</v>
          </cell>
          <cell r="C1103" t="str">
            <v>AGRI FITTING</v>
          </cell>
          <cell r="D1103">
            <v>70</v>
          </cell>
        </row>
        <row r="1104">
          <cell r="A1104" t="str">
            <v>A-505</v>
          </cell>
          <cell r="B1104" t="str">
            <v>ELBOW 45- 6 KG, 75MM AGRI</v>
          </cell>
          <cell r="C1104" t="str">
            <v>AGRI FITTING</v>
          </cell>
          <cell r="D1104">
            <v>173</v>
          </cell>
        </row>
        <row r="1105">
          <cell r="A1105">
            <v>5102</v>
          </cell>
          <cell r="B1105" t="str">
            <v>75MM YELLOW SEAL O RING</v>
          </cell>
          <cell r="D1105">
            <v>6</v>
          </cell>
        </row>
        <row r="1106">
          <cell r="A1106">
            <v>5104</v>
          </cell>
          <cell r="B1106" t="str">
            <v>110MM YELLOW SEAL O RING</v>
          </cell>
          <cell r="D1106">
            <v>13</v>
          </cell>
        </row>
        <row r="1107">
          <cell r="A1107" t="str">
            <v>A-228</v>
          </cell>
          <cell r="B1107" t="str">
            <v>coupler- 2.5 KG, 90MM AGRI</v>
          </cell>
          <cell r="C1107" t="str">
            <v>AGRI FITTING</v>
          </cell>
          <cell r="D1107">
            <v>70</v>
          </cell>
        </row>
        <row r="1108">
          <cell r="A1108" t="str">
            <v>A-428</v>
          </cell>
          <cell r="B1108" t="str">
            <v>AGRI EQUAL ELBOW 90 (2.5 Kg</v>
          </cell>
          <cell r="C1108" t="str">
            <v>AGRI FITTING</v>
          </cell>
          <cell r="D1108">
            <v>130</v>
          </cell>
        </row>
        <row r="1109">
          <cell r="A1109" t="str">
            <v>A-328</v>
          </cell>
          <cell r="B1109" t="str">
            <v>AGRI EQUAL TEE 90 (2.5 Kg</v>
          </cell>
          <cell r="C1109" t="str">
            <v>AGRI FITTING</v>
          </cell>
          <cell r="D1109">
            <v>177</v>
          </cell>
        </row>
        <row r="1110">
          <cell r="A1110" t="str">
            <v>A-229</v>
          </cell>
          <cell r="B1110" t="str">
            <v>coupler- 2.5 KG, 110MM AGRI</v>
          </cell>
          <cell r="C1110" t="str">
            <v>AGRI FITTING</v>
          </cell>
          <cell r="D1110">
            <v>122</v>
          </cell>
        </row>
        <row r="1111">
          <cell r="A1111" t="str">
            <v>A-327</v>
          </cell>
          <cell r="B1111" t="str">
            <v>EQUAL TEE 2.5 KG, 75MM AGRI</v>
          </cell>
          <cell r="C1111" t="str">
            <v>AGRI FITTING</v>
          </cell>
          <cell r="D1111">
            <v>110</v>
          </cell>
        </row>
        <row r="1112">
          <cell r="A1112" t="str">
            <v>A-227</v>
          </cell>
          <cell r="B1112" t="str">
            <v>COUPLER 2.5 KG, 75MM AGRI</v>
          </cell>
          <cell r="C1112" t="str">
            <v>AGRI FITTING</v>
          </cell>
          <cell r="D1112">
            <v>47</v>
          </cell>
        </row>
        <row r="1113">
          <cell r="A1113" t="str">
            <v>A-427</v>
          </cell>
          <cell r="B1113" t="str">
            <v>AGRI EQUAL ELBOW 75 (2.5 Kg</v>
          </cell>
          <cell r="C1113" t="str">
            <v>AGRI FITTING</v>
          </cell>
          <cell r="D1113">
            <v>83</v>
          </cell>
        </row>
        <row r="1114">
          <cell r="A1114" t="str">
            <v>A-702</v>
          </cell>
          <cell r="B1114" t="str">
            <v>BUSH 4KG, 50X40MM, AGRI</v>
          </cell>
          <cell r="C1114" t="str">
            <v>AGRI FITTING</v>
          </cell>
          <cell r="D1114">
            <v>34</v>
          </cell>
        </row>
        <row r="1115">
          <cell r="A1115" t="str">
            <v>A-704</v>
          </cell>
          <cell r="B1115" t="str">
            <v>BUSH 4KG, 75X110MM, AGRI</v>
          </cell>
          <cell r="C1115" t="str">
            <v>AGRI FITTING</v>
          </cell>
          <cell r="D1115">
            <v>233</v>
          </cell>
        </row>
        <row r="1116">
          <cell r="A1116" t="str">
            <v>A-703</v>
          </cell>
          <cell r="B1116" t="str">
            <v>BUSH 4KG, 75X50MM, AGRI</v>
          </cell>
          <cell r="C1116" t="str">
            <v>AGRI FITTING</v>
          </cell>
          <cell r="D1116">
            <v>74</v>
          </cell>
        </row>
        <row r="1117">
          <cell r="A1117" t="str">
            <v>A-329</v>
          </cell>
          <cell r="B1117" t="str">
            <v>EQUAL TEE 2.5 KG, 110MM AGRI</v>
          </cell>
          <cell r="C1117" t="str">
            <v>AGRI FITTING</v>
          </cell>
          <cell r="D1117">
            <v>289</v>
          </cell>
        </row>
        <row r="1118">
          <cell r="A1118" t="str">
            <v>CH88</v>
          </cell>
          <cell r="B1118" t="str">
            <v>25MM CANCELLED VALVE QUARTER TURN.WITH URBONA HANDLE</v>
          </cell>
          <cell r="C1118" t="str">
            <v>CPVC FITTING</v>
          </cell>
        </row>
        <row r="1119">
          <cell r="A1119" t="str">
            <v>CH86</v>
          </cell>
          <cell r="B1119" t="str">
            <v>25MM CANCELLED VALVE QUARTER TURN.WITH MACASA HANDLE</v>
          </cell>
          <cell r="C1119" t="str">
            <v>CPVC FITTING</v>
          </cell>
        </row>
        <row r="1120">
          <cell r="A1120" t="str">
            <v>A-429</v>
          </cell>
          <cell r="B1120" t="str">
            <v>AGRI EQUAL ELBOW 110 (2.5 Kg</v>
          </cell>
          <cell r="C1120" t="str">
            <v>AGRI FITTING</v>
          </cell>
          <cell r="D1120">
            <v>211</v>
          </cell>
        </row>
        <row r="1121">
          <cell r="A1121" t="str">
            <v>CH84</v>
          </cell>
          <cell r="B1121" t="str">
            <v>25MM CANCELLED VALVE QUARTER TURN.WITH GREACIA HANDLE</v>
          </cell>
          <cell r="C1121" t="str">
            <v>CPVC FITTING</v>
          </cell>
        </row>
        <row r="1122">
          <cell r="A1122" t="str">
            <v>CH82</v>
          </cell>
          <cell r="B1122" t="str">
            <v>25MM CANCELLED VALVE QUARTER TURN.WITH TRIANGLE HANDLE</v>
          </cell>
          <cell r="C1122" t="str">
            <v>CPVC FITTING</v>
          </cell>
        </row>
        <row r="1123">
          <cell r="A1123" t="str">
            <v>AS-329</v>
          </cell>
          <cell r="B1123" t="str">
            <v>AGRI EQUAL TEE 110</v>
          </cell>
          <cell r="C1123" t="str">
            <v>AGRI FITTING</v>
          </cell>
          <cell r="D1123">
            <v>289</v>
          </cell>
        </row>
        <row r="1124">
          <cell r="A1124" t="str">
            <v>AS-429</v>
          </cell>
          <cell r="B1124" t="str">
            <v>AGRI EQUAL ELBOW 110</v>
          </cell>
          <cell r="C1124" t="str">
            <v>AGRI FITTING</v>
          </cell>
          <cell r="D1124">
            <v>211</v>
          </cell>
        </row>
        <row r="1125">
          <cell r="A1125" t="str">
            <v>AS-328</v>
          </cell>
          <cell r="B1125" t="str">
            <v>AGRI EQUAL TEE 90</v>
          </cell>
          <cell r="C1125" t="str">
            <v>AGRI FITTING</v>
          </cell>
          <cell r="D1125">
            <v>177</v>
          </cell>
        </row>
        <row r="1126">
          <cell r="A1126" t="str">
            <v>AS-428</v>
          </cell>
          <cell r="B1126" t="str">
            <v xml:space="preserve">AGRI EQUAL ELBOW 90 </v>
          </cell>
          <cell r="C1126" t="str">
            <v>AGRI FITTING</v>
          </cell>
          <cell r="D1126">
            <v>130</v>
          </cell>
        </row>
        <row r="1127">
          <cell r="A1127" t="str">
            <v>AS-229</v>
          </cell>
          <cell r="B1127" t="str">
            <v>AGRI COUPLER PN-7110</v>
          </cell>
          <cell r="C1127" t="str">
            <v>AGRI FITTING</v>
          </cell>
          <cell r="D1127">
            <v>289</v>
          </cell>
        </row>
        <row r="1128">
          <cell r="A1128" t="str">
            <v>AS-327</v>
          </cell>
          <cell r="B1128" t="str">
            <v>AGRI EQUAL TEE 75</v>
          </cell>
          <cell r="C1128" t="str">
            <v>AGRI FITTING</v>
          </cell>
          <cell r="D1128">
            <v>110</v>
          </cell>
        </row>
        <row r="1129">
          <cell r="A1129">
            <v>5792</v>
          </cell>
          <cell r="B1129" t="str">
            <v>MULTIFLOOR TRAPE 110X75X50 MM</v>
          </cell>
          <cell r="C1129" t="str">
            <v>SWR FITTING</v>
          </cell>
          <cell r="D1129">
            <v>473</v>
          </cell>
        </row>
        <row r="1130">
          <cell r="A1130" t="str">
            <v>PW80</v>
          </cell>
          <cell r="B1130" t="str">
            <v>SWR PIPE S/S  75 MM (4 FEET-A)</v>
          </cell>
          <cell r="C1130" t="str">
            <v>SWR FITTING</v>
          </cell>
          <cell r="D1130">
            <v>1.1200000000000001</v>
          </cell>
        </row>
        <row r="1131">
          <cell r="A1131" t="str">
            <v>PW20</v>
          </cell>
          <cell r="B1131" t="str">
            <v>SWR PIPE S/S  110 MM (4 FEET-A)</v>
          </cell>
          <cell r="C1131" t="str">
            <v>SWR FITTING</v>
          </cell>
          <cell r="D1131">
            <v>1.52</v>
          </cell>
        </row>
        <row r="1132">
          <cell r="A1132" t="str">
            <v>AS-227</v>
          </cell>
          <cell r="B1132" t="str">
            <v>AGRI COUPLER PN-575</v>
          </cell>
          <cell r="C1132" t="str">
            <v>AGRI FITTING</v>
          </cell>
          <cell r="D1132">
            <v>47</v>
          </cell>
        </row>
        <row r="1133">
          <cell r="A1133" t="str">
            <v>C324</v>
          </cell>
          <cell r="B1133" t="str">
            <v>BRASS TEA 25X25X25</v>
          </cell>
          <cell r="C1133" t="str">
            <v>CPVC FITTING</v>
          </cell>
          <cell r="D1133">
            <v>63</v>
          </cell>
        </row>
        <row r="1134">
          <cell r="A1134" t="str">
            <v>AS-427</v>
          </cell>
          <cell r="B1134" t="str">
            <v xml:space="preserve">AGRI EQUAL ELBOW 75 </v>
          </cell>
          <cell r="C1134" t="str">
            <v>AGRI FITTING</v>
          </cell>
          <cell r="D1134">
            <v>83</v>
          </cell>
        </row>
        <row r="1135">
          <cell r="A1135" t="str">
            <v>AS-228</v>
          </cell>
          <cell r="B1135" t="str">
            <v>AGRI COUPLER PN-690</v>
          </cell>
          <cell r="C1135" t="str">
            <v>AGRI FITTING</v>
          </cell>
          <cell r="D1135">
            <v>70</v>
          </cell>
        </row>
        <row r="1136">
          <cell r="A1136" t="str">
            <v>A 54A</v>
          </cell>
          <cell r="B1136" t="str">
            <v>200MM 6 Kg AGRI PIPE  (6 Mtr.)</v>
          </cell>
          <cell r="C1136" t="str">
            <v>AGRI PIPE</v>
          </cell>
          <cell r="D1136">
            <v>19.809000000000001</v>
          </cell>
        </row>
        <row r="1137">
          <cell r="A1137" t="str">
            <v>C69N</v>
          </cell>
          <cell r="B1137" t="str">
            <v>6" TEE</v>
          </cell>
          <cell r="C1137" t="str">
            <v>CPVC FITTING</v>
          </cell>
          <cell r="D1137">
            <v>1723</v>
          </cell>
        </row>
        <row r="1138">
          <cell r="A1138" t="str">
            <v>CH89</v>
          </cell>
          <cell r="B1138" t="str">
            <v>25MM CANCELLED VALVE QUARTER TURN.WITH SPA HANDLE</v>
          </cell>
          <cell r="C1138" t="str">
            <v>CPVC FITTING</v>
          </cell>
        </row>
        <row r="1139">
          <cell r="A1139" t="str">
            <v>CHA-72F2</v>
          </cell>
          <cell r="B1139" t="str">
            <v>20 MM CONCEALED ACCESSORIES(HANDLE +SLEEVE+FLANGE)</v>
          </cell>
          <cell r="D1139">
            <v>180</v>
          </cell>
        </row>
        <row r="1140">
          <cell r="A1140" t="str">
            <v>A 8B</v>
          </cell>
          <cell r="B1140" t="str">
            <v>90MM 2.5 Kg AGRI PIPE  (5 Mtr.)</v>
          </cell>
          <cell r="C1140" t="str">
            <v>AGRI PIPE</v>
          </cell>
          <cell r="D1140">
            <v>2.9660000000000002</v>
          </cell>
        </row>
        <row r="1141">
          <cell r="A1141" t="str">
            <v>A 9B</v>
          </cell>
          <cell r="B1141" t="str">
            <v>110MM 2.5 Kg AGRI PIPE  (5 Mtr.)</v>
          </cell>
          <cell r="C1141" t="str">
            <v>AGRI PIPE</v>
          </cell>
          <cell r="D1141">
            <v>4.3899999999999997</v>
          </cell>
        </row>
        <row r="1142">
          <cell r="A1142" t="str">
            <v>A 31B</v>
          </cell>
          <cell r="B1142" t="str">
            <v>PIPE 5 MTRS LENGTH 4 KG 140MM</v>
          </cell>
          <cell r="C1142" t="str">
            <v>AGRI PIPE</v>
          </cell>
        </row>
        <row r="1143">
          <cell r="A1143">
            <v>5105</v>
          </cell>
          <cell r="B1143" t="str">
            <v>160MM YELLOW SEAL O RING</v>
          </cell>
          <cell r="C1143" t="str">
            <v>SWR FITTING</v>
          </cell>
          <cell r="D1143">
            <v>47</v>
          </cell>
        </row>
        <row r="1144">
          <cell r="A1144">
            <v>5103</v>
          </cell>
          <cell r="B1144" t="str">
            <v>90MM YELLOW SEAL O RING</v>
          </cell>
          <cell r="D1144">
            <v>10</v>
          </cell>
        </row>
        <row r="1145">
          <cell r="A1145" t="str">
            <v>A 50A</v>
          </cell>
          <cell r="B1145" t="str">
            <v>125MM 6 Kg AGRI PIPE  (3 Mtr.)</v>
          </cell>
          <cell r="C1145" t="str">
            <v>AGRI PIPE</v>
          </cell>
          <cell r="D1145">
            <v>8.0500000000000007</v>
          </cell>
        </row>
        <row r="1146">
          <cell r="A1146" t="str">
            <v>PU-4TB</v>
          </cell>
          <cell r="B1146" t="str">
            <v>THREADED PIPE SCH 80 32 MM</v>
          </cell>
          <cell r="C1146" t="str">
            <v>UPVC PIPE</v>
          </cell>
          <cell r="D1146">
            <v>2.25</v>
          </cell>
        </row>
        <row r="1147">
          <cell r="A1147" t="str">
            <v>AS-449</v>
          </cell>
          <cell r="B1147" t="str">
            <v>AGRI ELBOW 90⁰ 110</v>
          </cell>
          <cell r="C1147" t="str">
            <v>AGRI FITTING</v>
          </cell>
          <cell r="D1147">
            <v>463</v>
          </cell>
        </row>
        <row r="1148">
          <cell r="A1148" t="str">
            <v>AS-446</v>
          </cell>
          <cell r="B1148" t="str">
            <v>AGRI ELBOW 90⁰ 63</v>
          </cell>
          <cell r="C1148" t="str">
            <v>AGRI FITTING</v>
          </cell>
          <cell r="D1148">
            <v>128.5</v>
          </cell>
        </row>
        <row r="1149">
          <cell r="A1149" t="str">
            <v>AS-448</v>
          </cell>
          <cell r="B1149" t="str">
            <v>AGRI ELBOW 90⁰ 90</v>
          </cell>
          <cell r="C1149" t="str">
            <v>AGRI FITTING</v>
          </cell>
          <cell r="D1149">
            <v>286</v>
          </cell>
        </row>
        <row r="1150">
          <cell r="A1150" t="str">
            <v>AS-447</v>
          </cell>
          <cell r="B1150" t="str">
            <v>AGRI ELBOW 90⁰ 75</v>
          </cell>
          <cell r="C1150" t="str">
            <v>AGRI FITTING</v>
          </cell>
          <cell r="D1150">
            <v>192</v>
          </cell>
        </row>
        <row r="1151">
          <cell r="A1151" t="str">
            <v>AS-346</v>
          </cell>
          <cell r="B1151" t="str">
            <v>AGRI EQUAL TEE 63</v>
          </cell>
          <cell r="C1151" t="str">
            <v>AGRI FITTING</v>
          </cell>
          <cell r="D1151">
            <v>181</v>
          </cell>
        </row>
        <row r="1152">
          <cell r="A1152" t="str">
            <v>AS-349</v>
          </cell>
          <cell r="B1152" t="str">
            <v>AGRI EQUAL TEE 110</v>
          </cell>
          <cell r="C1152" t="str">
            <v>AGRI FITTING</v>
          </cell>
          <cell r="D1152">
            <v>623.5</v>
          </cell>
        </row>
        <row r="1153">
          <cell r="A1153" t="str">
            <v>AS-347</v>
          </cell>
          <cell r="B1153" t="str">
            <v>AGRI EQUAL TEE 110</v>
          </cell>
          <cell r="C1153" t="str">
            <v>AGRI FITTING</v>
          </cell>
          <cell r="D1153">
            <v>267.39999999999998</v>
          </cell>
        </row>
        <row r="1154">
          <cell r="A1154" t="str">
            <v>AS-249</v>
          </cell>
          <cell r="B1154" t="str">
            <v>110MM COUPLER4 KG/CM2</v>
          </cell>
          <cell r="C1154" t="str">
            <v>AGRI FITTING</v>
          </cell>
          <cell r="D1154">
            <v>242</v>
          </cell>
        </row>
        <row r="1155">
          <cell r="A1155" t="str">
            <v>PU-5TB</v>
          </cell>
          <cell r="B1155" t="str">
            <v>THREADED PIPE SCH 80 40 MM</v>
          </cell>
          <cell r="C1155" t="str">
            <v>UPVC PIPE</v>
          </cell>
          <cell r="D1155">
            <v>3.45</v>
          </cell>
        </row>
        <row r="1156">
          <cell r="A1156" t="str">
            <v>CH88F</v>
          </cell>
          <cell r="B1156" t="str">
            <v>25 MM FULL TURN CONCEALED VALVE URBONA</v>
          </cell>
          <cell r="C1156" t="str">
            <v>CPVC FITTING</v>
          </cell>
          <cell r="D1156">
            <v>0</v>
          </cell>
        </row>
        <row r="1157">
          <cell r="A1157" t="str">
            <v>CH90F</v>
          </cell>
          <cell r="B1157" t="str">
            <v>25 MM FULL TURN CONCEALED VALVE VIVA</v>
          </cell>
          <cell r="C1157" t="str">
            <v>CPVC FITTING</v>
          </cell>
          <cell r="D1157">
            <v>0</v>
          </cell>
        </row>
        <row r="1158">
          <cell r="A1158" t="str">
            <v>AS-348</v>
          </cell>
          <cell r="B1158" t="str">
            <v xml:space="preserve">AGRI EQUAL TEE 90 </v>
          </cell>
          <cell r="C1158" t="str">
            <v>AGRI FG</v>
          </cell>
          <cell r="D1158">
            <v>397</v>
          </cell>
        </row>
        <row r="1159">
          <cell r="A1159" t="str">
            <v>C230L</v>
          </cell>
          <cell r="B1159" t="str">
            <v>1/2" CPVC EXPANSION LOOP</v>
          </cell>
          <cell r="C1159" t="str">
            <v>CPVC FG</v>
          </cell>
          <cell r="D1159">
            <v>0</v>
          </cell>
        </row>
        <row r="1160">
          <cell r="A1160" t="str">
            <v>MHC-10</v>
          </cell>
          <cell r="B1160" t="str">
            <v>MANHOLE COVER 770 X 770</v>
          </cell>
          <cell r="C1160" t="str">
            <v xml:space="preserve">TRADING </v>
          </cell>
          <cell r="D1160">
            <v>31</v>
          </cell>
        </row>
        <row r="1161">
          <cell r="A1161" t="str">
            <v>MHC-09</v>
          </cell>
          <cell r="B1161" t="str">
            <v>MANHOLE COVER 720 X 720</v>
          </cell>
          <cell r="C1161" t="str">
            <v xml:space="preserve">TRADING </v>
          </cell>
          <cell r="D1161">
            <v>25</v>
          </cell>
        </row>
        <row r="1162">
          <cell r="A1162" t="str">
            <v>MHC-08</v>
          </cell>
          <cell r="B1162" t="str">
            <v>MANHOLE COVER 600 X 600</v>
          </cell>
          <cell r="C1162" t="str">
            <v xml:space="preserve">TRADING </v>
          </cell>
          <cell r="D1162">
            <v>14.6</v>
          </cell>
        </row>
        <row r="1163">
          <cell r="A1163" t="str">
            <v>MHC-07</v>
          </cell>
          <cell r="B1163" t="str">
            <v>MANHOLE COVER 535 X 535</v>
          </cell>
          <cell r="C1163" t="str">
            <v xml:space="preserve">TRADING </v>
          </cell>
          <cell r="D1163">
            <v>10.6</v>
          </cell>
        </row>
        <row r="1164">
          <cell r="A1164" t="str">
            <v>MHC-06</v>
          </cell>
          <cell r="B1164" t="str">
            <v>MANHOLE COVER 450 X 600</v>
          </cell>
          <cell r="C1164" t="str">
            <v xml:space="preserve">TRADING </v>
          </cell>
          <cell r="D1164">
            <v>10.7</v>
          </cell>
        </row>
        <row r="1165">
          <cell r="A1165" t="str">
            <v>MHC-05</v>
          </cell>
          <cell r="B1165" t="str">
            <v>MANHOLE COVER 450 X 450</v>
          </cell>
          <cell r="C1165" t="str">
            <v xml:space="preserve">TRADING </v>
          </cell>
          <cell r="D1165">
            <v>7.5</v>
          </cell>
        </row>
        <row r="1166">
          <cell r="A1166" t="str">
            <v>MHC-04</v>
          </cell>
          <cell r="B1166" t="str">
            <v>MANHOLE COVER 300 X 450</v>
          </cell>
          <cell r="C1166" t="str">
            <v xml:space="preserve">TRADING </v>
          </cell>
          <cell r="D1166">
            <v>4.75</v>
          </cell>
        </row>
        <row r="1167">
          <cell r="A1167" t="str">
            <v>MHC-03</v>
          </cell>
          <cell r="B1167" t="str">
            <v>MANHOLE COVER 380 X 380</v>
          </cell>
          <cell r="C1167" t="str">
            <v xml:space="preserve">TRADING </v>
          </cell>
          <cell r="D1167">
            <v>4.8</v>
          </cell>
        </row>
        <row r="1168">
          <cell r="A1168" t="str">
            <v>MHC-02</v>
          </cell>
          <cell r="B1168" t="str">
            <v>MANHOLE COVER 300 X 300</v>
          </cell>
          <cell r="C1168" t="str">
            <v xml:space="preserve">TRADING </v>
          </cell>
          <cell r="D1168">
            <v>3.6</v>
          </cell>
        </row>
        <row r="1169">
          <cell r="A1169" t="str">
            <v>MHC-01</v>
          </cell>
          <cell r="B1169" t="str">
            <v>MANHOLE COVER 250 X 250</v>
          </cell>
          <cell r="C1169" t="str">
            <v xml:space="preserve">TRADING </v>
          </cell>
          <cell r="D1169">
            <v>2.1</v>
          </cell>
        </row>
        <row r="1170">
          <cell r="A1170" t="str">
            <v>AS-248</v>
          </cell>
          <cell r="B1170" t="str">
            <v>90MM COUPLER4 KG/CM2</v>
          </cell>
          <cell r="C1170" t="str">
            <v>AGRI FITTING</v>
          </cell>
          <cell r="D1170">
            <v>190</v>
          </cell>
        </row>
        <row r="1171">
          <cell r="A1171" t="str">
            <v>PB125</v>
          </cell>
          <cell r="B1171" t="str">
            <v>COLUMN PIPE 25 MM 10 KG/CM2</v>
          </cell>
          <cell r="C1171" t="str">
            <v>Colum Pipe</v>
          </cell>
          <cell r="D1171">
            <v>1</v>
          </cell>
        </row>
        <row r="1172">
          <cell r="A1172" t="str">
            <v>PB225</v>
          </cell>
          <cell r="B1172" t="str">
            <v>COLUMN PIPE 25 MM 12.5 KG/CM2</v>
          </cell>
          <cell r="C1172" t="str">
            <v>Colum Pipe</v>
          </cell>
          <cell r="D1172">
            <v>1.0900000000000001</v>
          </cell>
        </row>
        <row r="1173">
          <cell r="A1173" t="str">
            <v>PB325</v>
          </cell>
          <cell r="B1173" t="str">
            <v>COLUMN PIPE 25 MM 15 KG/CM2</v>
          </cell>
          <cell r="C1173" t="str">
            <v>Colum Pipe</v>
          </cell>
          <cell r="D1173">
            <v>1.17</v>
          </cell>
        </row>
        <row r="1174">
          <cell r="A1174" t="str">
            <v>PB132</v>
          </cell>
          <cell r="B1174" t="str">
            <v>COLUMN PIPE 32 MM 10 KG/CM3</v>
          </cell>
          <cell r="C1174" t="str">
            <v>Colum Pipe</v>
          </cell>
          <cell r="D1174">
            <v>1.32</v>
          </cell>
        </row>
        <row r="1175">
          <cell r="A1175" t="str">
            <v>PB232</v>
          </cell>
          <cell r="B1175" t="str">
            <v>COLUMN PIPE 32 MM 12.5 KG/CM3</v>
          </cell>
          <cell r="C1175" t="str">
            <v>Colum Pipe</v>
          </cell>
          <cell r="D1175">
            <v>1.49</v>
          </cell>
        </row>
        <row r="1176">
          <cell r="A1176" t="str">
            <v>PB332</v>
          </cell>
          <cell r="B1176" t="str">
            <v>COLUMN PIPE 32 MM 15 KG/CM3</v>
          </cell>
          <cell r="C1176" t="str">
            <v>Colum Pipe</v>
          </cell>
          <cell r="D1176">
            <v>1.7</v>
          </cell>
        </row>
        <row r="1177">
          <cell r="A1177" t="str">
            <v>PB432</v>
          </cell>
          <cell r="B1177" t="str">
            <v>COLUMN PIPE 40 MM 10 KG/CM4</v>
          </cell>
          <cell r="C1177" t="str">
            <v>Colum Pipe</v>
          </cell>
          <cell r="D1177">
            <v>2.06</v>
          </cell>
        </row>
        <row r="1178">
          <cell r="A1178" t="str">
            <v>PB240</v>
          </cell>
          <cell r="B1178" t="str">
            <v>COLUMN PIPE 40 MM 12.5 KG/CM4</v>
          </cell>
          <cell r="C1178" t="str">
            <v>Colum Pipe</v>
          </cell>
          <cell r="D1178">
            <v>1.8940000000000001</v>
          </cell>
        </row>
        <row r="1179">
          <cell r="A1179" t="str">
            <v>PB340</v>
          </cell>
          <cell r="B1179" t="str">
            <v>COLUMN PIPE 40 MM 15 KG/CM4</v>
          </cell>
          <cell r="C1179" t="str">
            <v>Colum Pipe</v>
          </cell>
          <cell r="D1179">
            <v>2.214</v>
          </cell>
        </row>
        <row r="1180">
          <cell r="A1180" t="str">
            <v>PB440</v>
          </cell>
          <cell r="B1180" t="str">
            <v>COLUMN PIPE 40 MM 20 KG/CM4</v>
          </cell>
          <cell r="C1180" t="str">
            <v>Colum Pipe</v>
          </cell>
          <cell r="D1180">
            <v>2.6639999999999997</v>
          </cell>
        </row>
        <row r="1181">
          <cell r="A1181" t="str">
            <v>PB350</v>
          </cell>
          <cell r="B1181" t="str">
            <v>COLUMN PIPE 50 MM 15 KG/CM5</v>
          </cell>
          <cell r="C1181" t="str">
            <v>Colum Pipe</v>
          </cell>
          <cell r="D1181">
            <v>3.5630000000000002</v>
          </cell>
        </row>
        <row r="1182">
          <cell r="A1182" t="str">
            <v>PB450</v>
          </cell>
          <cell r="B1182" t="str">
            <v>COLUMN PIPE 50 MM 20 KG/CM5</v>
          </cell>
          <cell r="C1182" t="str">
            <v>Colum Pipe</v>
          </cell>
          <cell r="D1182">
            <v>4.3029999999999999</v>
          </cell>
        </row>
        <row r="1183">
          <cell r="A1183" t="str">
            <v>PB550</v>
          </cell>
          <cell r="B1183" t="str">
            <v>COLUMN PIPE 50 MM 25 KG/CM5</v>
          </cell>
          <cell r="C1183" t="str">
            <v>Colum Pipe</v>
          </cell>
          <cell r="D1183">
            <v>5.133</v>
          </cell>
        </row>
        <row r="1184">
          <cell r="A1184" t="str">
            <v>PB365</v>
          </cell>
          <cell r="B1184" t="str">
            <v>COLUMN PIPE 65 MM 15 KG/CM6</v>
          </cell>
          <cell r="C1184" t="str">
            <v>Colum Pipe</v>
          </cell>
          <cell r="D1184">
            <v>5.2329999999999997</v>
          </cell>
        </row>
        <row r="1185">
          <cell r="A1185" t="str">
            <v>PB465</v>
          </cell>
          <cell r="B1185" t="str">
            <v>COLUMN PIPE 65 MM 20 KG/CM6</v>
          </cell>
          <cell r="C1185" t="str">
            <v>Colum Pipe</v>
          </cell>
          <cell r="D1185">
            <v>6.423</v>
          </cell>
        </row>
        <row r="1186">
          <cell r="A1186" t="str">
            <v>PB565</v>
          </cell>
          <cell r="B1186" t="str">
            <v>COLUMN PIPE 65 MM 25 KG/CM6</v>
          </cell>
          <cell r="C1186" t="str">
            <v>Colum Pipe</v>
          </cell>
          <cell r="D1186">
            <v>7.5629999999999997</v>
          </cell>
        </row>
        <row r="1187">
          <cell r="A1187" t="str">
            <v>PB380</v>
          </cell>
          <cell r="B1187" t="str">
            <v>COLUMN PIPE 80 MM 15 KG/CM8</v>
          </cell>
          <cell r="C1187" t="str">
            <v>Colum Pipe</v>
          </cell>
          <cell r="D1187">
            <v>7.0430000000000001</v>
          </cell>
        </row>
        <row r="1188">
          <cell r="A1188" t="str">
            <v>PB480</v>
          </cell>
          <cell r="B1188" t="str">
            <v>COLUMN PIPE 80 MM 20 KG/CM8</v>
          </cell>
          <cell r="C1188" t="str">
            <v>Colum Pipe</v>
          </cell>
          <cell r="D1188">
            <v>8.7530000000000001</v>
          </cell>
        </row>
        <row r="1189">
          <cell r="A1189" t="str">
            <v>PB580</v>
          </cell>
          <cell r="B1189" t="str">
            <v>COLUMN PIPE 80 MM 25 KG/CM8</v>
          </cell>
          <cell r="C1189" t="str">
            <v>Colum Pipe</v>
          </cell>
          <cell r="D1189">
            <v>10.343</v>
          </cell>
        </row>
        <row r="1190">
          <cell r="A1190" t="str">
            <v>PB3100</v>
          </cell>
          <cell r="B1190" t="str">
            <v>COLUMN PIPE 100 MM 15 KG/CM1</v>
          </cell>
          <cell r="C1190" t="str">
            <v>Colum Pipe</v>
          </cell>
          <cell r="D1190">
            <v>11.47</v>
          </cell>
        </row>
        <row r="1191">
          <cell r="A1191" t="str">
            <v>PB4100</v>
          </cell>
          <cell r="B1191" t="str">
            <v>COLUMN PIPE 100 MM 20 KG/CM1</v>
          </cell>
          <cell r="C1191" t="str">
            <v>Colum Pipe</v>
          </cell>
          <cell r="D1191">
            <v>14.120000000000001</v>
          </cell>
        </row>
        <row r="1192">
          <cell r="A1192" t="str">
            <v>PB5100</v>
          </cell>
          <cell r="B1192" t="str">
            <v>COLUMN PIPE 100 MM 25 KG/CM1</v>
          </cell>
          <cell r="C1192" t="str">
            <v>Colum Pipe</v>
          </cell>
          <cell r="D1192">
            <v>16.809999999999999</v>
          </cell>
        </row>
        <row r="1193">
          <cell r="A1193">
            <v>5793</v>
          </cell>
          <cell r="B1193" t="str">
            <v>MULTIFLOOR TRAPE 110X75X50 MM WITH COVER</v>
          </cell>
          <cell r="C1193" t="str">
            <v>SWR FITTING</v>
          </cell>
          <cell r="D1193">
            <v>269.7</v>
          </cell>
        </row>
        <row r="1194">
          <cell r="A1194" t="str">
            <v>PN28C</v>
          </cell>
          <cell r="B1194" t="str">
            <v>90MM AGRI PIPE NON ISI PN4</v>
          </cell>
          <cell r="C1194" t="str">
            <v>AGRI PIPE</v>
          </cell>
          <cell r="D1194">
            <v>5.2</v>
          </cell>
        </row>
        <row r="1195">
          <cell r="A1195" t="str">
            <v>PN48C</v>
          </cell>
          <cell r="B1195" t="str">
            <v>90MM AGRI PIPE NON ISI PN6</v>
          </cell>
          <cell r="C1195" t="str">
            <v>AGRI PIPE</v>
          </cell>
          <cell r="D1195">
            <v>7.05</v>
          </cell>
        </row>
        <row r="1196">
          <cell r="A1196" t="str">
            <v>PN29C</v>
          </cell>
          <cell r="B1196" t="str">
            <v>110MM AGRI PIPE NON ISI PN4</v>
          </cell>
          <cell r="C1196" t="str">
            <v>AGRI PIPE</v>
          </cell>
          <cell r="D1196">
            <v>7.3</v>
          </cell>
        </row>
        <row r="1197">
          <cell r="A1197" t="str">
            <v>PN49C</v>
          </cell>
          <cell r="B1197" t="str">
            <v>110MM AGRI PIPE NON ISI PN6</v>
          </cell>
          <cell r="C1197" t="str">
            <v>AGRI PIPE</v>
          </cell>
          <cell r="D1197">
            <v>10.1</v>
          </cell>
        </row>
        <row r="1198">
          <cell r="A1198" t="str">
            <v>PN32C</v>
          </cell>
          <cell r="B1198" t="str">
            <v>160MM AGRI PIPE NON ISI PN4</v>
          </cell>
          <cell r="C1198" t="str">
            <v>AGRI PIPE</v>
          </cell>
        </row>
        <row r="1199">
          <cell r="A1199" t="str">
            <v>PN89C</v>
          </cell>
          <cell r="B1199" t="str">
            <v>90MM AGRI PIPE NON ISI PN10</v>
          </cell>
          <cell r="C1199" t="str">
            <v>AGRI PIPE</v>
          </cell>
        </row>
        <row r="1200">
          <cell r="A1200" t="str">
            <v>CH86F</v>
          </cell>
          <cell r="B1200" t="str">
            <v>25 MM FULL TURN CONCEALED VALVE MACASA</v>
          </cell>
          <cell r="C1200" t="str">
            <v>CPVC FITTING</v>
          </cell>
          <cell r="D1200">
            <v>0</v>
          </cell>
        </row>
        <row r="1201">
          <cell r="A1201" t="str">
            <v>PB125B</v>
          </cell>
          <cell r="B1201" t="str">
            <v>COLUMN BILLING PIPE 25 MM 10 KG/CM2</v>
          </cell>
          <cell r="C1201" t="str">
            <v>Colum Pipe</v>
          </cell>
          <cell r="D1201">
            <v>1</v>
          </cell>
        </row>
        <row r="1202">
          <cell r="A1202" t="str">
            <v>PB225B</v>
          </cell>
          <cell r="B1202" t="str">
            <v>COLUMN BILLING PIPE 25 MM 12.5 KG/CM2</v>
          </cell>
          <cell r="C1202" t="str">
            <v>Colum Pipe</v>
          </cell>
          <cell r="D1202">
            <v>1.0900000000000001</v>
          </cell>
        </row>
        <row r="1203">
          <cell r="A1203" t="str">
            <v>PB132B</v>
          </cell>
          <cell r="B1203" t="str">
            <v>COLUMN BILLING PIPE 32 MM 10 KG/CM3</v>
          </cell>
          <cell r="C1203" t="str">
            <v>Colum Pipe</v>
          </cell>
          <cell r="D1203">
            <v>1.32</v>
          </cell>
        </row>
        <row r="1204">
          <cell r="A1204" t="str">
            <v>PB232B</v>
          </cell>
          <cell r="B1204" t="str">
            <v>COLUMN BILLING PIPE 32 MM 12.5 KG/CM3</v>
          </cell>
          <cell r="C1204" t="str">
            <v>Colum Pipe</v>
          </cell>
          <cell r="D1204">
            <v>1.49</v>
          </cell>
        </row>
        <row r="1205">
          <cell r="A1205" t="str">
            <v>AS-442</v>
          </cell>
          <cell r="B1205" t="str">
            <v>AGRI ELBOW 90? 160</v>
          </cell>
          <cell r="C1205" t="str">
            <v>AGRI FG</v>
          </cell>
          <cell r="D1205">
            <v>1275</v>
          </cell>
        </row>
        <row r="1206">
          <cell r="A1206" t="str">
            <v>AS-246</v>
          </cell>
          <cell r="B1206" t="str">
            <v>AGRI COUPLER PN-6 63</v>
          </cell>
          <cell r="C1206" t="str">
            <v>AGRI FG</v>
          </cell>
          <cell r="D1206">
            <v>74</v>
          </cell>
        </row>
        <row r="1207">
          <cell r="A1207" t="str">
            <v>AS-549</v>
          </cell>
          <cell r="B1207" t="str">
            <v>AGRI END CAP 110</v>
          </cell>
          <cell r="C1207" t="str">
            <v>AGRI FG</v>
          </cell>
          <cell r="D1207">
            <v>74</v>
          </cell>
        </row>
        <row r="1208">
          <cell r="A1208" t="str">
            <v>AS-242</v>
          </cell>
          <cell r="B1208" t="str">
            <v>AGRI COUPLER PN-10160</v>
          </cell>
          <cell r="C1208" t="str">
            <v>AGRI FG</v>
          </cell>
          <cell r="D1208">
            <v>579.4</v>
          </cell>
        </row>
        <row r="1209">
          <cell r="A1209" t="str">
            <v>PN52C</v>
          </cell>
          <cell r="B1209" t="str">
            <v>160MM AGRI PIPE NON ISI PN6</v>
          </cell>
          <cell r="C1209" t="str">
            <v>AGRI FG</v>
          </cell>
          <cell r="D1209">
            <v>20.2</v>
          </cell>
        </row>
        <row r="1210">
          <cell r="A1210" t="str">
            <v>AS-443</v>
          </cell>
          <cell r="B1210" t="str">
            <v>AGRI ELBOW 90? 200</v>
          </cell>
          <cell r="C1210" t="str">
            <v>AGRI FITTING</v>
          </cell>
          <cell r="D1210">
            <v>1831</v>
          </cell>
        </row>
        <row r="1211">
          <cell r="A1211">
            <v>5706</v>
          </cell>
          <cell r="B1211" t="str">
            <v>75MM SOCKET PLUG</v>
          </cell>
          <cell r="C1211" t="str">
            <v>SWR FG</v>
          </cell>
          <cell r="D1211">
            <v>32</v>
          </cell>
        </row>
        <row r="1212">
          <cell r="A1212">
            <v>5106</v>
          </cell>
          <cell r="B1212" t="str">
            <v>110MM SOCKET PLUG</v>
          </cell>
          <cell r="C1212" t="str">
            <v>SWR FG</v>
          </cell>
          <cell r="D1212">
            <v>76</v>
          </cell>
        </row>
        <row r="1213">
          <cell r="A1213">
            <v>5606</v>
          </cell>
          <cell r="B1213" t="str">
            <v>160MM SOCKET PLUG</v>
          </cell>
          <cell r="C1213" t="str">
            <v>SWR FG</v>
          </cell>
          <cell r="D1213">
            <v>296</v>
          </cell>
        </row>
        <row r="1214">
          <cell r="A1214" t="str">
            <v>AS-342</v>
          </cell>
          <cell r="B1214" t="str">
            <v>160MM EQUAL TEE4 KG/CM2(PN-6)</v>
          </cell>
          <cell r="C1214" t="str">
            <v>AGRI FITTING</v>
          </cell>
          <cell r="D1214">
            <v>1576</v>
          </cell>
        </row>
        <row r="1215">
          <cell r="A1215" t="str">
            <v>CH90</v>
          </cell>
          <cell r="B1215" t="str">
            <v>25 MM Q/T TURN CONCEALED VALVE VIVA</v>
          </cell>
          <cell r="C1215" t="str">
            <v>CPVC FITTING</v>
          </cell>
          <cell r="D1215">
            <v>0</v>
          </cell>
        </row>
        <row r="1216">
          <cell r="A1216" t="str">
            <v>UH88F</v>
          </cell>
          <cell r="B1216" t="str">
            <v>1''CANCELLED VALVE FULL TURN URBONA</v>
          </cell>
          <cell r="C1216" t="str">
            <v>UPVC FG</v>
          </cell>
        </row>
        <row r="1217">
          <cell r="A1217" t="str">
            <v>UH84F</v>
          </cell>
          <cell r="B1217" t="str">
            <v>1"CANCELLED VALVE FULL TURN CRACIA</v>
          </cell>
          <cell r="C1217" t="str">
            <v>UPVC FG</v>
          </cell>
        </row>
        <row r="1218">
          <cell r="A1218" t="str">
            <v>UH90F</v>
          </cell>
          <cell r="B1218" t="str">
            <v>1"CANCELLED VALVE FULL TURN VIVA</v>
          </cell>
          <cell r="C1218" t="str">
            <v>UPVC FG</v>
          </cell>
        </row>
        <row r="1219">
          <cell r="A1219" t="str">
            <v>UH86F</v>
          </cell>
          <cell r="B1219" t="str">
            <v>1"CANCELLED VALVE FULL TURN MACASA</v>
          </cell>
          <cell r="C1219" t="str">
            <v>UPVC FG</v>
          </cell>
        </row>
        <row r="1220">
          <cell r="A1220" t="str">
            <v>UH82F</v>
          </cell>
          <cell r="B1220" t="str">
            <v>1"CANCELLED VALVE FULL TURN TRINNGULAR</v>
          </cell>
          <cell r="C1220" t="str">
            <v>UPVC FG</v>
          </cell>
        </row>
        <row r="1221">
          <cell r="A1221" t="str">
            <v>UH89F</v>
          </cell>
          <cell r="B1221" t="str">
            <v>1"CANCELLED VALVE FULL TURN SAGA</v>
          </cell>
          <cell r="C1221" t="str">
            <v>UPVC FG</v>
          </cell>
        </row>
        <row r="1222">
          <cell r="A1222" t="str">
            <v>UH88Q</v>
          </cell>
          <cell r="B1222" t="str">
            <v>1''CANCELLED VALVE QUARTER TURN URBONA</v>
          </cell>
          <cell r="C1222" t="str">
            <v>UPVC FG</v>
          </cell>
        </row>
        <row r="1223">
          <cell r="A1223" t="str">
            <v>UH84Q</v>
          </cell>
          <cell r="B1223" t="str">
            <v>1"CANCELLED VALVE QUARTER TURN CRACIA</v>
          </cell>
          <cell r="C1223" t="str">
            <v>UPVC FG</v>
          </cell>
        </row>
        <row r="1224">
          <cell r="A1224" t="str">
            <v>UH90Q</v>
          </cell>
          <cell r="B1224" t="str">
            <v>1"CANCELLED VALVE QUARTER TURN VIVA</v>
          </cell>
          <cell r="C1224" t="str">
            <v>UPVC FG</v>
          </cell>
        </row>
        <row r="1225">
          <cell r="A1225" t="str">
            <v>UH86Q</v>
          </cell>
          <cell r="B1225" t="str">
            <v>1"CANCELLED VALVE QUARTER TURN MACASA</v>
          </cell>
          <cell r="C1225" t="str">
            <v>UPVC FG</v>
          </cell>
        </row>
        <row r="1226">
          <cell r="A1226" t="str">
            <v>UH82Q</v>
          </cell>
          <cell r="B1226" t="str">
            <v>1"CANCELLED VALVE QUARTER TURN TRINNGULAR</v>
          </cell>
          <cell r="C1226" t="str">
            <v>UPVC FG</v>
          </cell>
        </row>
        <row r="1227">
          <cell r="A1227" t="str">
            <v>UH89Q</v>
          </cell>
          <cell r="B1227" t="str">
            <v>1"CANCELLED VALVE QUARTER TURN SAGA</v>
          </cell>
          <cell r="C1227" t="str">
            <v>UPVC FG</v>
          </cell>
        </row>
        <row r="1228">
          <cell r="A1228">
            <v>4763</v>
          </cell>
          <cell r="B1228" t="str">
            <v xml:space="preserve">110X63 MMNAHANI TRAP WITH JALI </v>
          </cell>
          <cell r="C1228" t="str">
            <v>SWR FG</v>
          </cell>
          <cell r="D1228">
            <v>311</v>
          </cell>
        </row>
        <row r="1229">
          <cell r="A1229" t="str">
            <v>4763W</v>
          </cell>
          <cell r="B1229" t="str">
            <v xml:space="preserve">110X63 MMNAHANI TRAP WITHOUT JALI </v>
          </cell>
          <cell r="C1229" t="str">
            <v>SWR FG</v>
          </cell>
          <cell r="D1229">
            <v>258</v>
          </cell>
        </row>
        <row r="1230">
          <cell r="A1230">
            <v>4507</v>
          </cell>
          <cell r="B1230" t="str">
            <v xml:space="preserve">63 MM BACK FLOW VALVE  </v>
          </cell>
          <cell r="C1230" t="str">
            <v>SWR FG</v>
          </cell>
        </row>
        <row r="1231">
          <cell r="A1231">
            <v>5707</v>
          </cell>
          <cell r="B1231" t="str">
            <v xml:space="preserve">75 MM BACK FLOW VALVE  </v>
          </cell>
          <cell r="C1231" t="str">
            <v>SWR FG</v>
          </cell>
          <cell r="D1231">
            <v>64</v>
          </cell>
        </row>
        <row r="1232">
          <cell r="A1232">
            <v>5907</v>
          </cell>
          <cell r="B1232" t="str">
            <v xml:space="preserve">90 MM BACK FLOW VALVE </v>
          </cell>
          <cell r="C1232" t="str">
            <v>SWR FG</v>
          </cell>
          <cell r="D1232">
            <v>99</v>
          </cell>
        </row>
        <row r="1233">
          <cell r="A1233">
            <v>5107</v>
          </cell>
          <cell r="B1233" t="str">
            <v xml:space="preserve">110 MM BACK FLOW VALVE </v>
          </cell>
          <cell r="C1233" t="str">
            <v>SWR FG</v>
          </cell>
          <cell r="D1233">
            <v>74</v>
          </cell>
        </row>
        <row r="1234">
          <cell r="A1234">
            <v>5607</v>
          </cell>
          <cell r="B1234" t="str">
            <v xml:space="preserve">160 MM BACK FLOW VALVE </v>
          </cell>
          <cell r="C1234" t="str">
            <v>SWR FG</v>
          </cell>
          <cell r="D1234">
            <v>348</v>
          </cell>
        </row>
        <row r="1235">
          <cell r="A1235" t="str">
            <v>A-211</v>
          </cell>
          <cell r="B1235" t="str">
            <v>20 MM COUPLER AGRI-(10 KG)</v>
          </cell>
          <cell r="C1235" t="str">
            <v>AGRI FG</v>
          </cell>
          <cell r="D1235">
            <v>12</v>
          </cell>
        </row>
        <row r="1236">
          <cell r="A1236" t="str">
            <v>A-212</v>
          </cell>
          <cell r="B1236" t="str">
            <v>25 MM COUPLER AGRI-(10 KG)</v>
          </cell>
          <cell r="C1236" t="str">
            <v>AGRI FG</v>
          </cell>
          <cell r="D1236">
            <v>21</v>
          </cell>
        </row>
        <row r="1237">
          <cell r="A1237" t="str">
            <v>A-213</v>
          </cell>
          <cell r="B1237" t="str">
            <v xml:space="preserve">32 MM COUPLER 10 KG/CM2 </v>
          </cell>
          <cell r="C1237" t="str">
            <v>AGRI FG</v>
          </cell>
          <cell r="D1237">
            <v>31</v>
          </cell>
        </row>
        <row r="1238">
          <cell r="A1238" t="str">
            <v>A-214</v>
          </cell>
          <cell r="B1238" t="str">
            <v xml:space="preserve">40 MM COUPLER 10 KG/CM2 </v>
          </cell>
          <cell r="C1238" t="str">
            <v>AGRI FG</v>
          </cell>
          <cell r="D1238">
            <v>42</v>
          </cell>
        </row>
        <row r="1239">
          <cell r="A1239" t="str">
            <v>A-215</v>
          </cell>
          <cell r="B1239" t="str">
            <v xml:space="preserve">50 MM COUPLER 10 KG/CM2 </v>
          </cell>
          <cell r="C1239" t="str">
            <v>AGRI FG</v>
          </cell>
        </row>
        <row r="1240">
          <cell r="A1240" t="str">
            <v>A-311</v>
          </cell>
          <cell r="B1240" t="str">
            <v>20 MM EQUAL TEE  AGRI-(10 KG)</v>
          </cell>
          <cell r="C1240" t="str">
            <v>AGRI FG</v>
          </cell>
          <cell r="D1240">
            <v>40</v>
          </cell>
        </row>
        <row r="1241">
          <cell r="A1241" t="str">
            <v>A-312</v>
          </cell>
          <cell r="B1241" t="str">
            <v>25 MM EQUAL TEE  AGRI-(10 KG)</v>
          </cell>
          <cell r="C1241" t="str">
            <v>AGRI FG</v>
          </cell>
          <cell r="D1241">
            <v>40</v>
          </cell>
        </row>
        <row r="1242">
          <cell r="A1242" t="str">
            <v>A-313</v>
          </cell>
          <cell r="B1242" t="str">
            <v xml:space="preserve">32 MMTEE 10 KG/CM2 </v>
          </cell>
          <cell r="C1242" t="str">
            <v>AGRI FG</v>
          </cell>
          <cell r="D1242">
            <v>59</v>
          </cell>
        </row>
        <row r="1243">
          <cell r="A1243" t="str">
            <v>A-314</v>
          </cell>
          <cell r="B1243" t="str">
            <v xml:space="preserve">40 MMTEE 10 KG/CM2 </v>
          </cell>
          <cell r="C1243" t="str">
            <v>AGRI FG</v>
          </cell>
        </row>
        <row r="1244">
          <cell r="A1244" t="str">
            <v>A-315</v>
          </cell>
          <cell r="B1244" t="str">
            <v xml:space="preserve">50 MMTEE 10 KG/CM2 </v>
          </cell>
          <cell r="C1244" t="str">
            <v>AGRI FG</v>
          </cell>
        </row>
        <row r="1245">
          <cell r="A1245" t="str">
            <v>A-411</v>
          </cell>
          <cell r="B1245" t="str">
            <v xml:space="preserve">20 MM ELBOW 10 KG/CM2 </v>
          </cell>
          <cell r="C1245" t="str">
            <v>AGRI FG</v>
          </cell>
          <cell r="D1245">
            <v>18</v>
          </cell>
        </row>
        <row r="1246">
          <cell r="A1246" t="str">
            <v>A-412</v>
          </cell>
          <cell r="B1246" t="str">
            <v>25 MM ELBOW 90 AGRI-(10 KG)</v>
          </cell>
          <cell r="C1246" t="str">
            <v>AGRI FG</v>
          </cell>
          <cell r="D1246">
            <v>29</v>
          </cell>
        </row>
        <row r="1247">
          <cell r="A1247" t="str">
            <v>A-413</v>
          </cell>
          <cell r="B1247" t="str">
            <v xml:space="preserve">32 MM ELBOW 10 KG/CM2 </v>
          </cell>
          <cell r="C1247" t="str">
            <v>AGRI FG</v>
          </cell>
          <cell r="D1247">
            <v>46</v>
          </cell>
        </row>
        <row r="1248">
          <cell r="A1248" t="str">
            <v>A-414</v>
          </cell>
          <cell r="B1248" t="str">
            <v xml:space="preserve">40 MM ELBOW 10 KG/CM2 </v>
          </cell>
          <cell r="C1248" t="str">
            <v>AGRI FG</v>
          </cell>
        </row>
        <row r="1249">
          <cell r="A1249" t="str">
            <v>A-415</v>
          </cell>
          <cell r="B1249" t="str">
            <v xml:space="preserve">50 MM ELBOW 10 KG/CM2 </v>
          </cell>
          <cell r="C1249" t="str">
            <v>AGRI FG</v>
          </cell>
        </row>
        <row r="1250">
          <cell r="A1250" t="str">
            <v>A-417</v>
          </cell>
          <cell r="B1250" t="str">
            <v xml:space="preserve">110X75 MM Red. ELBOW 10 KG/CM2 </v>
          </cell>
          <cell r="C1250" t="str">
            <v>AGRI FG</v>
          </cell>
          <cell r="D1250">
            <v>475</v>
          </cell>
        </row>
        <row r="1251">
          <cell r="A1251" t="str">
            <v>A-419</v>
          </cell>
          <cell r="B1251" t="str">
            <v>REDUCER ELBOW 4KG 110X90</v>
          </cell>
          <cell r="C1251" t="str">
            <v>AGRI FG</v>
          </cell>
          <cell r="D1251">
            <v>476</v>
          </cell>
        </row>
        <row r="1252">
          <cell r="A1252" t="str">
            <v>A-509</v>
          </cell>
          <cell r="B1252" t="str">
            <v>ELBOW 45- 4 KG 90MM AGRI</v>
          </cell>
          <cell r="C1252" t="str">
            <v>AGRI FG</v>
          </cell>
          <cell r="D1252">
            <v>227</v>
          </cell>
        </row>
        <row r="1253">
          <cell r="A1253" t="str">
            <v>A-510</v>
          </cell>
          <cell r="B1253" t="str">
            <v>ELBOW 45- 4 KG 110MM AGRI</v>
          </cell>
          <cell r="C1253" t="str">
            <v>AGRI FG</v>
          </cell>
          <cell r="D1253">
            <v>345</v>
          </cell>
        </row>
        <row r="1254">
          <cell r="A1254" t="str">
            <v>A-511</v>
          </cell>
          <cell r="B1254" t="str">
            <v>20 MM ELBOW 45  AGRI-(10 KG)</v>
          </cell>
          <cell r="C1254" t="str">
            <v>AGRI FG</v>
          </cell>
          <cell r="D1254">
            <v>17</v>
          </cell>
        </row>
        <row r="1255">
          <cell r="A1255" t="str">
            <v>A-512</v>
          </cell>
          <cell r="B1255" t="str">
            <v>45° ELBOW 10kg/cm² 25MM</v>
          </cell>
          <cell r="C1255" t="str">
            <v>AGRI FG</v>
          </cell>
          <cell r="D1255">
            <v>27</v>
          </cell>
        </row>
        <row r="1256">
          <cell r="A1256" t="str">
            <v>A-513</v>
          </cell>
          <cell r="B1256" t="str">
            <v xml:space="preserve">32 MM 45* ELBOW 10 KG/CM2 </v>
          </cell>
          <cell r="C1256" t="str">
            <v>AGRI FG</v>
          </cell>
          <cell r="D1256">
            <v>38</v>
          </cell>
        </row>
        <row r="1257">
          <cell r="A1257" t="str">
            <v>A-514</v>
          </cell>
          <cell r="B1257" t="str">
            <v>45° ELBOW 10kg/cm² 40MM</v>
          </cell>
          <cell r="C1257" t="str">
            <v>AGRI FG</v>
          </cell>
          <cell r="D1257">
            <v>55</v>
          </cell>
        </row>
        <row r="1258">
          <cell r="A1258" t="str">
            <v>A-515</v>
          </cell>
          <cell r="B1258" t="str">
            <v>50° ELBOW 10kg/cm² 40MM</v>
          </cell>
          <cell r="C1258" t="str">
            <v>AGRI FG</v>
          </cell>
          <cell r="D1258">
            <v>82</v>
          </cell>
        </row>
        <row r="1259">
          <cell r="A1259" t="str">
            <v>A-711</v>
          </cell>
          <cell r="B1259" t="str">
            <v xml:space="preserve">20X25 MM REDUCER BUSH 4 KG/CM2 </v>
          </cell>
          <cell r="C1259" t="str">
            <v>AGRI FG</v>
          </cell>
          <cell r="D1259">
            <v>7</v>
          </cell>
        </row>
        <row r="1260">
          <cell r="A1260" t="str">
            <v>A-712</v>
          </cell>
          <cell r="B1260" t="str">
            <v xml:space="preserve">20X32 MMREDUCER BUSH 4 KG/CM2 </v>
          </cell>
          <cell r="C1260" t="str">
            <v>AGRI FG</v>
          </cell>
          <cell r="D1260">
            <v>14</v>
          </cell>
        </row>
        <row r="1261">
          <cell r="A1261" t="str">
            <v>A-713</v>
          </cell>
          <cell r="B1261" t="str">
            <v xml:space="preserve">20X40 MMREDUCER BUSH 4 KG/CM2 </v>
          </cell>
          <cell r="C1261" t="str">
            <v>AGRI FG</v>
          </cell>
          <cell r="D1261">
            <v>28</v>
          </cell>
        </row>
        <row r="1262">
          <cell r="A1262" t="str">
            <v>A-714</v>
          </cell>
          <cell r="B1262" t="str">
            <v xml:space="preserve">20X50 MMREDUCER BUSH 4 KG/CM2 </v>
          </cell>
          <cell r="C1262" t="str">
            <v>AGRI FG</v>
          </cell>
          <cell r="D1262">
            <v>40</v>
          </cell>
        </row>
        <row r="1263">
          <cell r="A1263" t="str">
            <v>A-715</v>
          </cell>
          <cell r="B1263" t="str">
            <v xml:space="preserve">25X32 MMREDUCER BUSH 4 KG/CM2 </v>
          </cell>
          <cell r="C1263" t="str">
            <v>AGRI FG</v>
          </cell>
          <cell r="D1263">
            <v>13</v>
          </cell>
        </row>
        <row r="1264">
          <cell r="A1264" t="str">
            <v>A-716</v>
          </cell>
          <cell r="B1264" t="str">
            <v xml:space="preserve">25X40 MMREDUCER BUSH 4 KG/CM2 </v>
          </cell>
          <cell r="C1264" t="str">
            <v>AGRI FG</v>
          </cell>
          <cell r="D1264">
            <v>32</v>
          </cell>
        </row>
        <row r="1265">
          <cell r="A1265" t="str">
            <v>A-717</v>
          </cell>
          <cell r="B1265" t="str">
            <v xml:space="preserve">25X50 MMREDUCER BUSH 4 KG/CM2 </v>
          </cell>
          <cell r="C1265" t="str">
            <v>AGRI FG</v>
          </cell>
          <cell r="D1265">
            <v>45</v>
          </cell>
        </row>
        <row r="1266">
          <cell r="A1266" t="str">
            <v>A-718</v>
          </cell>
          <cell r="B1266" t="str">
            <v>32X40 MM AGRI REDUCER BUSH 4 KG/CM2</v>
          </cell>
          <cell r="C1266" t="str">
            <v>AGRI FG</v>
          </cell>
          <cell r="D1266">
            <v>25</v>
          </cell>
        </row>
        <row r="1267">
          <cell r="A1267" t="str">
            <v>A-719</v>
          </cell>
          <cell r="B1267" t="str">
            <v xml:space="preserve">32X50 MMREDUCER BUSH 4 KG/CM2 </v>
          </cell>
          <cell r="C1267" t="str">
            <v>AGRI FG</v>
          </cell>
          <cell r="D1267">
            <v>44</v>
          </cell>
        </row>
        <row r="1268">
          <cell r="A1268" t="str">
            <v>A-720</v>
          </cell>
          <cell r="B1268" t="str">
            <v>32X40 MM AGRI REDUCER BUSH 4 KG/CM2</v>
          </cell>
          <cell r="C1268" t="str">
            <v>AGRI FG</v>
          </cell>
        </row>
        <row r="1269">
          <cell r="A1269" t="str">
            <v>A-721</v>
          </cell>
          <cell r="B1269" t="str">
            <v xml:space="preserve">50X63 MMREDUCER BUSH 4 KG/CM2 </v>
          </cell>
          <cell r="C1269" t="str">
            <v>AGRI FG</v>
          </cell>
        </row>
        <row r="1270">
          <cell r="A1270" t="str">
            <v>A-771</v>
          </cell>
          <cell r="B1270" t="str">
            <v>REDUCER COUPLER  110X 50 MM</v>
          </cell>
          <cell r="C1270" t="str">
            <v>AGRI FG</v>
          </cell>
        </row>
        <row r="1271">
          <cell r="A1271" t="str">
            <v>C59N</v>
          </cell>
          <cell r="B1271" t="str">
            <v>6" 90° ELBOW</v>
          </cell>
          <cell r="C1271" t="str">
            <v>CPVC FITTING</v>
          </cell>
          <cell r="D1271">
            <v>1975</v>
          </cell>
        </row>
        <row r="1272">
          <cell r="A1272" t="str">
            <v>A-30A</v>
          </cell>
          <cell r="B1272" t="str">
            <v>PIPE 3 MTRS Length 4 KG 125MM</v>
          </cell>
          <cell r="C1272" t="str">
            <v>AGRI PIPE</v>
          </cell>
          <cell r="D1272">
            <v>7.5</v>
          </cell>
        </row>
        <row r="1273">
          <cell r="A1273" t="str">
            <v>A-50A</v>
          </cell>
          <cell r="B1273" t="str">
            <v>125MM 6 Kg AGRI PIPE  (3 Mtr.)</v>
          </cell>
          <cell r="C1273" t="str">
            <v>AGRI PIPE</v>
          </cell>
          <cell r="D1273">
            <v>8</v>
          </cell>
        </row>
        <row r="1274">
          <cell r="A1274" t="str">
            <v>OPVC22</v>
          </cell>
          <cell r="B1274" t="str">
            <v>110MM OPVC PIPE 16KG/CM2</v>
          </cell>
          <cell r="C1274" t="str">
            <v>OPVC PIPE</v>
          </cell>
          <cell r="D1274">
            <v>0</v>
          </cell>
        </row>
        <row r="1275">
          <cell r="A1275" t="str">
            <v>C134</v>
          </cell>
          <cell r="B1275" t="str">
            <v>32 MM Non Return Valve</v>
          </cell>
          <cell r="C1275" t="str">
            <v>cpvc fg</v>
          </cell>
          <cell r="D1275">
            <v>123</v>
          </cell>
        </row>
        <row r="1276">
          <cell r="A1276" t="str">
            <v>C135</v>
          </cell>
          <cell r="B1276" t="str">
            <v>40 MM Non Return Valve</v>
          </cell>
          <cell r="C1276" t="str">
            <v>cpvc fg</v>
          </cell>
          <cell r="D1276">
            <v>140</v>
          </cell>
        </row>
        <row r="1277">
          <cell r="A1277" t="str">
            <v>UH88-L</v>
          </cell>
          <cell r="B1277" t="str">
            <v>1" UPVC  URBONA CONCEALED VALVE Q/T</v>
          </cell>
          <cell r="C1277" t="str">
            <v>UPVC FITTING</v>
          </cell>
          <cell r="D1277">
            <v>73.8</v>
          </cell>
        </row>
        <row r="1278">
          <cell r="A1278" t="str">
            <v>AS-247</v>
          </cell>
          <cell r="B1278" t="str">
            <v>AGRI COUPLER PN-6 75</v>
          </cell>
          <cell r="C1278" t="str">
            <v>AGRI FG</v>
          </cell>
          <cell r="D1278">
            <v>106.5</v>
          </cell>
        </row>
        <row r="1279">
          <cell r="A1279" t="str">
            <v>A-51A</v>
          </cell>
          <cell r="B1279" t="str">
            <v>140MM 6 Kg AGRI PIPE  (3 Mtr.)</v>
          </cell>
          <cell r="C1279" t="str">
            <v>AGRI PIPE</v>
          </cell>
          <cell r="D1279">
            <v>10.65</v>
          </cell>
        </row>
        <row r="1280">
          <cell r="A1280" t="str">
            <v>PP42</v>
          </cell>
          <cell r="B1280" t="str">
            <v>Coupler 20 MM PPR FITTINGS (White Single Layer)</v>
          </cell>
          <cell r="C1280" t="str">
            <v>PPR Fittimg</v>
          </cell>
          <cell r="D1280">
            <v>13</v>
          </cell>
        </row>
        <row r="1281">
          <cell r="A1281" t="str">
            <v>PP54</v>
          </cell>
          <cell r="B1281" t="str">
            <v>Elbow 90 32 MM PPR FITTINGS (White Single Layer)</v>
          </cell>
          <cell r="C1281" t="str">
            <v>PPR Fittimg</v>
          </cell>
          <cell r="D1281">
            <v>49</v>
          </cell>
        </row>
        <row r="1282">
          <cell r="A1282" t="str">
            <v>PP44</v>
          </cell>
          <cell r="B1282" t="str">
            <v>Coupler 32 MM PPR FITTINGS (White Single Layer)</v>
          </cell>
          <cell r="C1282" t="str">
            <v>PPR Fittimg</v>
          </cell>
          <cell r="D1282">
            <v>31</v>
          </cell>
        </row>
        <row r="1283">
          <cell r="A1283" t="str">
            <v>PP64</v>
          </cell>
          <cell r="B1283" t="str">
            <v>Equal Tee 32 MM PPR FITTINGS (White Single Layer)</v>
          </cell>
          <cell r="C1283" t="str">
            <v>PPR Fittimg</v>
          </cell>
          <cell r="D1283">
            <v>66</v>
          </cell>
        </row>
        <row r="1284">
          <cell r="A1284" t="str">
            <v>PP43</v>
          </cell>
          <cell r="B1284" t="str">
            <v>Coupler 25 MM PPR FITTINGS (White Single Layer)</v>
          </cell>
          <cell r="C1284" t="str">
            <v>PPR Fittimg</v>
          </cell>
          <cell r="D1284">
            <v>21</v>
          </cell>
        </row>
        <row r="1285">
          <cell r="A1285" t="str">
            <v>PP63</v>
          </cell>
          <cell r="B1285" t="str">
            <v>Equal Tee 25 MM PPR FITTINGS (White Single Layer)</v>
          </cell>
          <cell r="C1285" t="str">
            <v>PPR Fittimg</v>
          </cell>
          <cell r="D1285">
            <v>40</v>
          </cell>
        </row>
        <row r="1286">
          <cell r="A1286" t="str">
            <v>PP62</v>
          </cell>
          <cell r="B1286" t="str">
            <v>Equal Tee 20 MM PPR FITTINGS (White Single Layer)</v>
          </cell>
          <cell r="C1286" t="str">
            <v>PPR Fittimg</v>
          </cell>
          <cell r="D1286">
            <v>24</v>
          </cell>
        </row>
        <row r="1287">
          <cell r="A1287" t="str">
            <v>PP53</v>
          </cell>
          <cell r="B1287" t="str">
            <v>Elbow 90 25 MM PPR FITTINGS (White Single Layer)</v>
          </cell>
          <cell r="C1287" t="str">
            <v>PPR Fittimg</v>
          </cell>
          <cell r="D1287">
            <v>31</v>
          </cell>
        </row>
        <row r="1288">
          <cell r="A1288" t="str">
            <v>PP52</v>
          </cell>
          <cell r="B1288" t="str">
            <v>Elbow 90 20 MM PPR FITTINGS (White Single Layer)</v>
          </cell>
          <cell r="C1288" t="str">
            <v>PPR Fittimg</v>
          </cell>
          <cell r="D1288">
            <v>18</v>
          </cell>
        </row>
        <row r="1289">
          <cell r="A1289" t="str">
            <v>PP942</v>
          </cell>
          <cell r="B1289" t="str">
            <v>Reducer Bush 32x20 PPR FITTINGS (White Single Layer)</v>
          </cell>
          <cell r="C1289" t="str">
            <v>PPR Fittimg</v>
          </cell>
          <cell r="D1289">
            <v>27</v>
          </cell>
        </row>
        <row r="1290">
          <cell r="A1290" t="str">
            <v>PP943</v>
          </cell>
          <cell r="B1290" t="str">
            <v>Reducer Bush 32x25 PPR FITTINGS (White Single Layer)</v>
          </cell>
          <cell r="C1290" t="str">
            <v>PPR Fittimg</v>
          </cell>
          <cell r="D1290">
            <v>28</v>
          </cell>
        </row>
        <row r="1291">
          <cell r="A1291" t="str">
            <v>PP952</v>
          </cell>
          <cell r="B1291" t="str">
            <v>Reducer Coupler 40x20 PPR FITTINGS (White Single Layer)</v>
          </cell>
          <cell r="C1291" t="str">
            <v>PPR Fittimg</v>
          </cell>
          <cell r="D1291">
            <v>32</v>
          </cell>
        </row>
        <row r="1292">
          <cell r="A1292" t="str">
            <v>PP953</v>
          </cell>
          <cell r="B1292" t="str">
            <v>Reducer Coupler 40x25 PPR FITTINGS (White Single Layer)</v>
          </cell>
          <cell r="C1292" t="str">
            <v>PPR Fittimg</v>
          </cell>
          <cell r="D1292">
            <v>34</v>
          </cell>
        </row>
        <row r="1293">
          <cell r="A1293" t="str">
            <v>PP954</v>
          </cell>
          <cell r="B1293" t="str">
            <v>Reducer Coupler 40x32 PPR FITTINGS (White Single Layer)</v>
          </cell>
          <cell r="C1293" t="str">
            <v>PPR Fittimg</v>
          </cell>
          <cell r="D1293">
            <v>36</v>
          </cell>
        </row>
        <row r="1294">
          <cell r="A1294" t="str">
            <v>PP932</v>
          </cell>
          <cell r="B1294" t="str">
            <v>Reducer Coupler 25x20 PPR FITTINGS (White Single Layer)</v>
          </cell>
          <cell r="C1294" t="str">
            <v>PPR Fittimg</v>
          </cell>
          <cell r="D1294">
            <v>17</v>
          </cell>
        </row>
        <row r="1295">
          <cell r="A1295" t="str">
            <v>C230L</v>
          </cell>
          <cell r="B1295" t="str">
            <v>1/2" CPVC EXPANSION LOOP</v>
          </cell>
          <cell r="C1295" t="str">
            <v>CPVC-FG</v>
          </cell>
        </row>
        <row r="1296">
          <cell r="A1296" t="str">
            <v>C231L</v>
          </cell>
          <cell r="B1296" t="str">
            <v>3/4" CPVC EXPANSION LOOP</v>
          </cell>
          <cell r="C1296" t="str">
            <v>CPVC-FG</v>
          </cell>
        </row>
        <row r="1297">
          <cell r="A1297" t="str">
            <v>C232L</v>
          </cell>
          <cell r="B1297" t="str">
            <v>1" CPVC EXPANSION LOOP</v>
          </cell>
          <cell r="C1297" t="str">
            <v>CPVC-FG</v>
          </cell>
        </row>
        <row r="1298">
          <cell r="A1298" t="str">
            <v>C233L</v>
          </cell>
          <cell r="B1298" t="str">
            <v>1-1/4" CPVC EXPANSION LOOP</v>
          </cell>
          <cell r="C1298" t="str">
            <v>CPVC-FG</v>
          </cell>
        </row>
        <row r="1299">
          <cell r="A1299" t="str">
            <v>C234L</v>
          </cell>
          <cell r="B1299" t="str">
            <v>1-1/2" CPVC EXPANSION LOOP</v>
          </cell>
          <cell r="C1299" t="str">
            <v>CPVC-FG</v>
          </cell>
          <cell r="D1299">
            <v>930</v>
          </cell>
        </row>
        <row r="1300">
          <cell r="A1300" t="str">
            <v>C235L</v>
          </cell>
          <cell r="B1300" t="str">
            <v>2" CPVC EXPANSION LOOP</v>
          </cell>
          <cell r="C1300" t="str">
            <v>CPVC-FG</v>
          </cell>
          <cell r="D1300">
            <v>1820</v>
          </cell>
        </row>
        <row r="1301">
          <cell r="A1301" t="str">
            <v>CHB-72F</v>
          </cell>
          <cell r="B1301" t="str">
            <v>20 MM CONCEALED ACCESSORIES(HANDLE + Fitting)</v>
          </cell>
          <cell r="C1301" t="str">
            <v>CPVC-FG</v>
          </cell>
          <cell r="D1301">
            <v>180</v>
          </cell>
        </row>
        <row r="1302">
          <cell r="A1302" t="str">
            <v>WCT-3LL-05</v>
          </cell>
          <cell r="B1302" t="str">
            <v>WATER COOL TANK 3 LAYER LIGHT 500 LTR.</v>
          </cell>
          <cell r="C1302" t="str">
            <v xml:space="preserve">WATER TANK </v>
          </cell>
          <cell r="D1302">
            <v>11.5</v>
          </cell>
        </row>
        <row r="1303">
          <cell r="A1303" t="str">
            <v>WCT-3LL-07</v>
          </cell>
          <cell r="B1303" t="str">
            <v>WATER COOL TANK 3 LAYER LIGHT 750 LTR.</v>
          </cell>
          <cell r="C1303" t="str">
            <v xml:space="preserve">WATER TANK </v>
          </cell>
          <cell r="D1303">
            <v>18</v>
          </cell>
        </row>
        <row r="1304">
          <cell r="A1304" t="str">
            <v>WCT-3LL-10</v>
          </cell>
          <cell r="B1304" t="str">
            <v>WATER COOL TANK 3 LAYER LIGHT 1000 LTR.</v>
          </cell>
          <cell r="C1304" t="str">
            <v xml:space="preserve">WATER TANK </v>
          </cell>
          <cell r="D1304">
            <v>22.5</v>
          </cell>
        </row>
        <row r="1305">
          <cell r="A1305" t="str">
            <v>C521S</v>
          </cell>
          <cell r="B1305" t="str">
            <v>3/4"x1/2" 90⁰ BRASS ELBOW (New)</v>
          </cell>
          <cell r="C1305" t="str">
            <v>CPVC FITTING</v>
          </cell>
          <cell r="D1305">
            <v>29.5</v>
          </cell>
        </row>
        <row r="1306">
          <cell r="A1306" t="str">
            <v>WCT-3LL-05 B</v>
          </cell>
          <cell r="B1306" t="str">
            <v>WATER COOL TANK 3 LAYER LIGHT 500 LTR.</v>
          </cell>
          <cell r="C1306" t="str">
            <v xml:space="preserve">WATER TANK </v>
          </cell>
          <cell r="D1306">
            <v>11.5</v>
          </cell>
        </row>
        <row r="1307">
          <cell r="A1307" t="str">
            <v>WCT-3LL-07 B</v>
          </cell>
          <cell r="B1307" t="str">
            <v>WATER COOL TANK 3 LAYER LIGHT 750 LTR.</v>
          </cell>
          <cell r="C1307" t="str">
            <v xml:space="preserve">WATER TANK </v>
          </cell>
          <cell r="D1307">
            <v>18</v>
          </cell>
        </row>
        <row r="1308">
          <cell r="A1308" t="str">
            <v>WCT-3LL-10 B</v>
          </cell>
          <cell r="B1308" t="str">
            <v>WATER COOL TANK 3 LAYER LIGHT 1000 LTR.</v>
          </cell>
          <cell r="C1308" t="str">
            <v xml:space="preserve">WATER TANK </v>
          </cell>
          <cell r="D1308">
            <v>22.5</v>
          </cell>
        </row>
        <row r="1309">
          <cell r="A1309" t="str">
            <v>PP323</v>
          </cell>
          <cell r="B1309" t="str">
            <v>Brass Tee 25x15 MM PPR FITTINGS (White Single Layer)</v>
          </cell>
          <cell r="C1309" t="str">
            <v>PPR Fittimg</v>
          </cell>
          <cell r="D1309">
            <v>46</v>
          </cell>
        </row>
        <row r="1310">
          <cell r="A1310" t="str">
            <v>PP303</v>
          </cell>
          <cell r="B1310" t="str">
            <v>25x15mm male  brass tee</v>
          </cell>
          <cell r="C1310" t="str">
            <v>PPR Fittimg</v>
          </cell>
          <cell r="D1310">
            <v>52</v>
          </cell>
        </row>
        <row r="1311">
          <cell r="A1311" t="str">
            <v>WCT-3LL-05 Y</v>
          </cell>
          <cell r="B1311" t="str">
            <v>WATER COOL TANK 3 LAYER LIGHT 500 LTR.</v>
          </cell>
          <cell r="C1311" t="str">
            <v xml:space="preserve">WATER TANK </v>
          </cell>
          <cell r="D1311">
            <v>11.5</v>
          </cell>
        </row>
        <row r="1312">
          <cell r="A1312" t="str">
            <v>WCT-3LL-07 Y</v>
          </cell>
          <cell r="B1312" t="str">
            <v>WATER COOL TANK 3 LAYER LIGHT 750 LTR.</v>
          </cell>
          <cell r="C1312" t="str">
            <v xml:space="preserve">WATER TANK </v>
          </cell>
          <cell r="D1312">
            <v>18</v>
          </cell>
        </row>
        <row r="1313">
          <cell r="A1313" t="str">
            <v>WCT-3LL-10 Y</v>
          </cell>
          <cell r="B1313" t="str">
            <v>WATER COOL TANK 3 LAYER LIGHT 1000 LTR.</v>
          </cell>
          <cell r="C1313" t="str">
            <v xml:space="preserve">WATER TANK </v>
          </cell>
          <cell r="D1313">
            <v>22.5</v>
          </cell>
        </row>
        <row r="1314">
          <cell r="A1314" t="str">
            <v>PU13T</v>
          </cell>
          <cell r="B1314" t="str">
            <v>1" UPVC PIPE ( SCH 40 ) Thr.</v>
          </cell>
          <cell r="C1314" t="str">
            <v>UPVC PIPE</v>
          </cell>
          <cell r="D1314">
            <v>1.61</v>
          </cell>
        </row>
        <row r="1315">
          <cell r="A1315" t="str">
            <v>WCT-3LL-05 G</v>
          </cell>
          <cell r="B1315" t="str">
            <v>WATER COOL TANK 3 LAYER LIGHT 500 LTR.</v>
          </cell>
          <cell r="C1315" t="str">
            <v xml:space="preserve">WATER TANK </v>
          </cell>
          <cell r="D1315">
            <v>11.5</v>
          </cell>
        </row>
        <row r="1316">
          <cell r="A1316" t="str">
            <v>WCT-3LL-07 G</v>
          </cell>
          <cell r="B1316" t="str">
            <v>WATER COOL TANK 3 LAYER LIGHT 750 LTR.</v>
          </cell>
          <cell r="C1316" t="str">
            <v xml:space="preserve">WATER TANK </v>
          </cell>
          <cell r="D1316">
            <v>18</v>
          </cell>
        </row>
        <row r="1317">
          <cell r="A1317" t="str">
            <v>WCT-3LL-10 G</v>
          </cell>
          <cell r="B1317" t="str">
            <v>WATER COOL TANK 3 LAYER LIGHT 1000 LTR.</v>
          </cell>
          <cell r="C1317" t="str">
            <v xml:space="preserve">WATER TANK </v>
          </cell>
          <cell r="D1317">
            <v>22.5</v>
          </cell>
        </row>
        <row r="1318">
          <cell r="A1318" t="str">
            <v>WCT-3LL-05 GD</v>
          </cell>
          <cell r="B1318" t="str">
            <v>WATER COOL TANK 3 LAYER LIGHT 500 LTR.</v>
          </cell>
          <cell r="C1318" t="str">
            <v xml:space="preserve">WATER TANK </v>
          </cell>
          <cell r="D1318">
            <v>11.5</v>
          </cell>
        </row>
        <row r="1319">
          <cell r="A1319" t="str">
            <v>WCT-3LL-07 GD</v>
          </cell>
          <cell r="B1319" t="str">
            <v>WATER COOL TANK 3 LAYER LIGHT 750 LTR.</v>
          </cell>
          <cell r="C1319" t="str">
            <v xml:space="preserve">WATER TANK </v>
          </cell>
          <cell r="D1319">
            <v>18</v>
          </cell>
        </row>
        <row r="1320">
          <cell r="A1320" t="str">
            <v>WCT-3LL-10 GD</v>
          </cell>
          <cell r="B1320" t="str">
            <v>WATER COOL TANK 3 LAYER LIGHT 1000 LTR.</v>
          </cell>
          <cell r="C1320" t="str">
            <v xml:space="preserve">WATER TANK </v>
          </cell>
          <cell r="D1320">
            <v>22.5</v>
          </cell>
        </row>
        <row r="1321">
          <cell r="A1321" t="str">
            <v>WCT-3LL-05 PG</v>
          </cell>
          <cell r="B1321" t="str">
            <v>WATER COOL TANK 3 LAYER LIGHT 500 LTR.</v>
          </cell>
          <cell r="C1321" t="str">
            <v xml:space="preserve">WATER TANK </v>
          </cell>
          <cell r="D1321">
            <v>11.5</v>
          </cell>
        </row>
        <row r="1322">
          <cell r="A1322" t="str">
            <v>WCT-3LL-07 PG</v>
          </cell>
          <cell r="B1322" t="str">
            <v>WATER COOL TANK 3 LAYER LIGHT 750 LTR.</v>
          </cell>
          <cell r="C1322" t="str">
            <v xml:space="preserve">WATER TANK </v>
          </cell>
          <cell r="D1322">
            <v>18</v>
          </cell>
        </row>
        <row r="1323">
          <cell r="A1323" t="str">
            <v>WCT-3LL-10 PG</v>
          </cell>
          <cell r="B1323" t="str">
            <v>WATER COOL TANK 3 LAYER LIGHT 1000 LTR.</v>
          </cell>
          <cell r="C1323" t="str">
            <v xml:space="preserve">WATER TANK </v>
          </cell>
          <cell r="D1323">
            <v>22.5</v>
          </cell>
        </row>
        <row r="1324">
          <cell r="A1324" t="str">
            <v>WCT-3LL-05 P</v>
          </cell>
          <cell r="B1324" t="str">
            <v>WATER COOL TANK 3 LAYER LIGHT 500 LTR.</v>
          </cell>
          <cell r="C1324" t="str">
            <v xml:space="preserve">WATER TANK </v>
          </cell>
          <cell r="D1324">
            <v>11.5</v>
          </cell>
        </row>
        <row r="1325">
          <cell r="A1325" t="str">
            <v>WCT-3LL-07 P</v>
          </cell>
          <cell r="B1325" t="str">
            <v>WATER COOL TANK 3 LAYER LIGHT 750 LTR.</v>
          </cell>
          <cell r="C1325" t="str">
            <v xml:space="preserve">WATER TANK </v>
          </cell>
          <cell r="D1325">
            <v>18</v>
          </cell>
        </row>
        <row r="1326">
          <cell r="A1326" t="str">
            <v>WCT-3LL-10 P</v>
          </cell>
          <cell r="B1326" t="str">
            <v>WATER COOL TANK 3 LAYER LIGHT 1000 LTR.</v>
          </cell>
          <cell r="C1326" t="str">
            <v xml:space="preserve">WATER TANK </v>
          </cell>
          <cell r="D1326">
            <v>22.5</v>
          </cell>
        </row>
        <row r="1327">
          <cell r="A1327" t="str">
            <v>PP523</v>
          </cell>
          <cell r="B1327" t="str">
            <v>Brass Elbow 90 25x15 MM PPR FITTINGS (White Single Layer)</v>
          </cell>
          <cell r="C1327" t="str">
            <v>PPR Fittimg</v>
          </cell>
          <cell r="D1327">
            <v>39</v>
          </cell>
        </row>
        <row r="1328">
          <cell r="A1328" t="str">
            <v>PP513</v>
          </cell>
          <cell r="B1328" t="str">
            <v>Male Brass Elbow 90 25x15 MM PPR FITTINGS (White Single Layer)</v>
          </cell>
          <cell r="C1328" t="str">
            <v>PPR Fittimg</v>
          </cell>
          <cell r="D1328">
            <v>45</v>
          </cell>
        </row>
        <row r="1329">
          <cell r="A1329" t="str">
            <v>PP413</v>
          </cell>
          <cell r="B1329" t="str">
            <v>25"x1/2" Female brass coupling</v>
          </cell>
          <cell r="C1329" t="str">
            <v>PPR Fittimg</v>
          </cell>
          <cell r="D1329">
            <v>26</v>
          </cell>
        </row>
        <row r="1330">
          <cell r="A1330" t="str">
            <v>PP403</v>
          </cell>
          <cell r="B1330" t="str">
            <v>25"x1/2" Male brass coupling</v>
          </cell>
          <cell r="C1330" t="str">
            <v>PPR Fittimg</v>
          </cell>
          <cell r="D1330">
            <v>26</v>
          </cell>
        </row>
        <row r="1331">
          <cell r="A1331" t="str">
            <v>PP33</v>
          </cell>
          <cell r="B1331" t="str">
            <v>Union 25 MM PPR FITTINGS (White Single Layer)</v>
          </cell>
          <cell r="C1331" t="str">
            <v>PPR Fittimg</v>
          </cell>
        </row>
        <row r="1332">
          <cell r="A1332" t="str">
            <v>PEA-531B</v>
          </cell>
          <cell r="B1332" t="str">
            <v>Female Threaded Elbow 90' Size 16x1/2" (MM)</v>
          </cell>
        </row>
        <row r="1333">
          <cell r="A1333" t="str">
            <v>PEA-322B</v>
          </cell>
          <cell r="B1333" t="str">
            <v>Unequal Tea Size 20x16x20 (MM)</v>
          </cell>
        </row>
        <row r="1334">
          <cell r="A1334" t="str">
            <v>PEA-731B</v>
          </cell>
          <cell r="B1334" t="str">
            <v>Male Threaded Adapter Size 16x1/2" (MM)</v>
          </cell>
        </row>
        <row r="1335">
          <cell r="A1335" t="str">
            <v>WT-4LWP-10</v>
          </cell>
          <cell r="B1335" t="str">
            <v>Water Tank 4 layer Light 1000 Ltr. WP</v>
          </cell>
          <cell r="C1335" t="str">
            <v xml:space="preserve">WATER TANK </v>
          </cell>
          <cell r="D1335">
            <v>25.5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0790-ADAE-4EF4-80FE-22423C6410BC}">
  <dimension ref="A1:G24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9.77734375" customWidth="1"/>
    <col min="2" max="2" width="42.5546875" customWidth="1"/>
    <col min="3" max="3" width="13.33203125" customWidth="1"/>
  </cols>
  <sheetData>
    <row r="1" spans="1:7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409</v>
      </c>
      <c r="G1" s="5" t="s">
        <v>5</v>
      </c>
    </row>
    <row r="2" spans="1:7" x14ac:dyDescent="0.3">
      <c r="A2" s="6" t="s">
        <v>15</v>
      </c>
      <c r="B2" s="7" t="s">
        <v>16</v>
      </c>
      <c r="C2" s="7" t="s">
        <v>14</v>
      </c>
      <c r="D2" s="8">
        <v>15</v>
      </c>
      <c r="E2" s="8">
        <v>284</v>
      </c>
      <c r="F2" s="10">
        <f>+IFERROR(VLOOKUP(A2,[1]Sheet5!$A$3:$D$1335,4,0),0)</f>
        <v>103.3</v>
      </c>
      <c r="G2" s="10">
        <f>+E2*F2/1000</f>
        <v>29.337199999999999</v>
      </c>
    </row>
    <row r="3" spans="1:7" x14ac:dyDescent="0.3">
      <c r="A3" s="6" t="s">
        <v>17</v>
      </c>
      <c r="B3" s="7" t="s">
        <v>18</v>
      </c>
      <c r="C3" s="7" t="s">
        <v>14</v>
      </c>
      <c r="D3" s="8">
        <v>15</v>
      </c>
      <c r="E3" s="8">
        <v>32</v>
      </c>
      <c r="F3" s="10">
        <f>+IFERROR(VLOOKUP(A3,[1]Sheet5!$A$3:$D$1335,4,0),0)</f>
        <v>59</v>
      </c>
      <c r="G3" s="10">
        <f t="shared" ref="G3:G66" si="0">+E3*F3/1000</f>
        <v>1.8879999999999999</v>
      </c>
    </row>
    <row r="4" spans="1:7" x14ac:dyDescent="0.3">
      <c r="A4" s="6" t="s">
        <v>19</v>
      </c>
      <c r="B4" s="7" t="s">
        <v>20</v>
      </c>
      <c r="C4" s="7" t="s">
        <v>14</v>
      </c>
      <c r="D4" s="8">
        <v>44</v>
      </c>
      <c r="E4" s="8">
        <v>596</v>
      </c>
      <c r="F4" s="10">
        <f>+IFERROR(VLOOKUP(A4,[1]Sheet5!$A$3:$D$1335,4,0),0)</f>
        <v>178.76000000000002</v>
      </c>
      <c r="G4" s="10">
        <f t="shared" si="0"/>
        <v>106.54096000000001</v>
      </c>
    </row>
    <row r="5" spans="1:7" x14ac:dyDescent="0.3">
      <c r="A5" s="6" t="s">
        <v>21</v>
      </c>
      <c r="B5" s="7" t="s">
        <v>22</v>
      </c>
      <c r="C5" s="7" t="s">
        <v>14</v>
      </c>
      <c r="D5" s="8">
        <v>18</v>
      </c>
      <c r="E5" s="8">
        <v>41</v>
      </c>
      <c r="F5" s="10">
        <f>+IFERROR(VLOOKUP(A5,[1]Sheet5!$A$3:$D$1335,4,0),0)</f>
        <v>425.12500000000006</v>
      </c>
      <c r="G5" s="10">
        <f t="shared" si="0"/>
        <v>17.430125000000004</v>
      </c>
    </row>
    <row r="6" spans="1:7" x14ac:dyDescent="0.3">
      <c r="A6" s="6" t="s">
        <v>23</v>
      </c>
      <c r="B6" s="7" t="s">
        <v>24</v>
      </c>
      <c r="C6" s="7" t="s">
        <v>14</v>
      </c>
      <c r="D6" s="8">
        <v>20</v>
      </c>
      <c r="E6" s="8">
        <v>18</v>
      </c>
      <c r="F6" s="10">
        <f>+IFERROR(VLOOKUP(A6,[1]Sheet5!$A$3:$D$1335,4,0),0)</f>
        <v>425.12500000000006</v>
      </c>
      <c r="G6" s="10">
        <f t="shared" si="0"/>
        <v>7.6522500000000013</v>
      </c>
    </row>
    <row r="7" spans="1:7" x14ac:dyDescent="0.3">
      <c r="A7" s="6" t="s">
        <v>25</v>
      </c>
      <c r="B7" s="7" t="s">
        <v>26</v>
      </c>
      <c r="C7" s="7" t="s">
        <v>14</v>
      </c>
      <c r="D7" s="8">
        <v>100</v>
      </c>
      <c r="E7" s="8">
        <v>291</v>
      </c>
      <c r="F7" s="10">
        <f>+IFERROR(VLOOKUP(A7,[1]Sheet5!$A$3:$D$1335,4,0),0)</f>
        <v>95</v>
      </c>
      <c r="G7" s="10">
        <f t="shared" si="0"/>
        <v>27.645</v>
      </c>
    </row>
    <row r="8" spans="1:7" x14ac:dyDescent="0.3">
      <c r="A8" s="6" t="s">
        <v>27</v>
      </c>
      <c r="B8" s="7" t="s">
        <v>28</v>
      </c>
      <c r="C8" s="7" t="s">
        <v>14</v>
      </c>
      <c r="D8" s="8">
        <v>80</v>
      </c>
      <c r="E8" s="8">
        <v>427</v>
      </c>
      <c r="F8" s="10">
        <f>+IFERROR(VLOOKUP(A8,[1]Sheet5!$A$3:$D$1335,4,0),0)</f>
        <v>143.94999999999999</v>
      </c>
      <c r="G8" s="10">
        <f t="shared" si="0"/>
        <v>61.466649999999994</v>
      </c>
    </row>
    <row r="9" spans="1:7" x14ac:dyDescent="0.3">
      <c r="A9" s="6" t="s">
        <v>29</v>
      </c>
      <c r="B9" s="7" t="s">
        <v>30</v>
      </c>
      <c r="C9" s="7" t="s">
        <v>14</v>
      </c>
      <c r="D9" s="8">
        <v>300</v>
      </c>
      <c r="E9" s="8">
        <v>420</v>
      </c>
      <c r="F9" s="10">
        <f>+IFERROR(VLOOKUP(A9,[1]Sheet5!$A$3:$D$1335,4,0),0)</f>
        <v>36.4</v>
      </c>
      <c r="G9" s="10">
        <f t="shared" si="0"/>
        <v>15.288</v>
      </c>
    </row>
    <row r="10" spans="1:7" x14ac:dyDescent="0.3">
      <c r="A10" s="6" t="s">
        <v>31</v>
      </c>
      <c r="B10" s="7" t="s">
        <v>32</v>
      </c>
      <c r="C10" s="7" t="s">
        <v>14</v>
      </c>
      <c r="D10" s="8">
        <v>50</v>
      </c>
      <c r="E10" s="8">
        <v>139</v>
      </c>
      <c r="F10" s="10">
        <f>+IFERROR(VLOOKUP(A10,[1]Sheet5!$A$3:$D$1335,4,0),0)</f>
        <v>213.2</v>
      </c>
      <c r="G10" s="10">
        <f t="shared" si="0"/>
        <v>29.634799999999998</v>
      </c>
    </row>
    <row r="11" spans="1:7" x14ac:dyDescent="0.3">
      <c r="A11" s="6" t="s">
        <v>33</v>
      </c>
      <c r="B11" s="7" t="s">
        <v>34</v>
      </c>
      <c r="C11" s="7" t="s">
        <v>14</v>
      </c>
      <c r="D11" s="8">
        <v>25</v>
      </c>
      <c r="E11" s="8">
        <v>162</v>
      </c>
      <c r="F11" s="10">
        <f>+IFERROR(VLOOKUP(A11,[1]Sheet5!$A$3:$D$1335,4,0),0)</f>
        <v>41.5</v>
      </c>
      <c r="G11" s="10">
        <f t="shared" si="0"/>
        <v>6.7229999999999999</v>
      </c>
    </row>
    <row r="12" spans="1:7" x14ac:dyDescent="0.3">
      <c r="A12" s="6" t="s">
        <v>35</v>
      </c>
      <c r="B12" s="7" t="s">
        <v>36</v>
      </c>
      <c r="C12" s="7" t="s">
        <v>14</v>
      </c>
      <c r="D12" s="8">
        <v>500</v>
      </c>
      <c r="E12" s="8">
        <v>441</v>
      </c>
      <c r="F12" s="10">
        <f>+IFERROR(VLOOKUP(A12,[1]Sheet5!$A$3:$D$1335,4,0),0)</f>
        <v>20.95</v>
      </c>
      <c r="G12" s="10">
        <f t="shared" si="0"/>
        <v>9.2389499999999991</v>
      </c>
    </row>
    <row r="13" spans="1:7" x14ac:dyDescent="0.3">
      <c r="A13" s="6" t="s">
        <v>37</v>
      </c>
      <c r="B13" s="7" t="s">
        <v>38</v>
      </c>
      <c r="C13" s="7" t="s">
        <v>14</v>
      </c>
      <c r="D13" s="8">
        <v>100</v>
      </c>
      <c r="E13" s="8">
        <v>47</v>
      </c>
      <c r="F13" s="10">
        <f>+IFERROR(VLOOKUP(A13,[1]Sheet5!$A$3:$D$1335,4,0),0)</f>
        <v>57</v>
      </c>
      <c r="G13" s="10">
        <f t="shared" si="0"/>
        <v>2.6789999999999998</v>
      </c>
    </row>
    <row r="14" spans="1:7" x14ac:dyDescent="0.3">
      <c r="A14" s="6" t="s">
        <v>39</v>
      </c>
      <c r="B14" s="7" t="s">
        <v>40</v>
      </c>
      <c r="C14" s="7" t="s">
        <v>14</v>
      </c>
      <c r="D14" s="8">
        <v>150</v>
      </c>
      <c r="E14" s="8">
        <v>399</v>
      </c>
      <c r="F14" s="10">
        <f>+IFERROR(VLOOKUP(A14,[1]Sheet5!$A$3:$D$1335,4,0),0)</f>
        <v>39</v>
      </c>
      <c r="G14" s="10">
        <f t="shared" si="0"/>
        <v>15.561</v>
      </c>
    </row>
    <row r="15" spans="1:7" x14ac:dyDescent="0.3">
      <c r="A15" s="6" t="s">
        <v>41</v>
      </c>
      <c r="B15" s="7" t="s">
        <v>42</v>
      </c>
      <c r="C15" s="7" t="s">
        <v>14</v>
      </c>
      <c r="D15" s="8">
        <v>80</v>
      </c>
      <c r="E15" s="8">
        <v>109</v>
      </c>
      <c r="F15" s="10">
        <f>+IFERROR(VLOOKUP(A15,[1]Sheet5!$A$3:$D$1335,4,0),0)</f>
        <v>65.8</v>
      </c>
      <c r="G15" s="10">
        <f t="shared" si="0"/>
        <v>7.1722000000000001</v>
      </c>
    </row>
    <row r="16" spans="1:7" x14ac:dyDescent="0.3">
      <c r="A16" s="6" t="s">
        <v>43</v>
      </c>
      <c r="B16" s="7" t="s">
        <v>44</v>
      </c>
      <c r="C16" s="7" t="s">
        <v>14</v>
      </c>
      <c r="D16" s="8">
        <v>50</v>
      </c>
      <c r="E16" s="8">
        <v>1590</v>
      </c>
      <c r="F16" s="10">
        <f>+IFERROR(VLOOKUP(A16,[1]Sheet5!$A$3:$D$1335,4,0),0)</f>
        <v>71</v>
      </c>
      <c r="G16" s="10">
        <f t="shared" si="0"/>
        <v>112.89</v>
      </c>
    </row>
    <row r="17" spans="1:7" x14ac:dyDescent="0.3">
      <c r="A17" s="6" t="s">
        <v>45</v>
      </c>
      <c r="B17" s="7" t="s">
        <v>46</v>
      </c>
      <c r="C17" s="7" t="s">
        <v>14</v>
      </c>
      <c r="D17" s="8">
        <v>30</v>
      </c>
      <c r="E17" s="8">
        <v>259</v>
      </c>
      <c r="F17" s="10">
        <f>+IFERROR(VLOOKUP(A17,[1]Sheet5!$A$3:$D$1335,4,0),0)</f>
        <v>145.65</v>
      </c>
      <c r="G17" s="10">
        <f t="shared" si="0"/>
        <v>37.723349999999996</v>
      </c>
    </row>
    <row r="18" spans="1:7" x14ac:dyDescent="0.3">
      <c r="A18" s="6" t="s">
        <v>47</v>
      </c>
      <c r="B18" s="7" t="s">
        <v>48</v>
      </c>
      <c r="C18" s="7" t="s">
        <v>14</v>
      </c>
      <c r="D18" s="8">
        <v>50</v>
      </c>
      <c r="E18" s="8">
        <v>613</v>
      </c>
      <c r="F18" s="10">
        <f>+IFERROR(VLOOKUP(A18,[1]Sheet5!$A$3:$D$1335,4,0),0)</f>
        <v>82.5</v>
      </c>
      <c r="G18" s="10">
        <f t="shared" si="0"/>
        <v>50.572499999999998</v>
      </c>
    </row>
    <row r="19" spans="1:7" x14ac:dyDescent="0.3">
      <c r="A19" s="6" t="s">
        <v>51</v>
      </c>
      <c r="B19" s="7" t="s">
        <v>52</v>
      </c>
      <c r="C19" s="7" t="s">
        <v>14</v>
      </c>
      <c r="D19" s="8">
        <v>150</v>
      </c>
      <c r="E19" s="8">
        <v>2009</v>
      </c>
      <c r="F19" s="10">
        <f>+IFERROR(VLOOKUP(A19,[1]Sheet5!$A$3:$D$1335,4,0),0)</f>
        <v>29.5</v>
      </c>
      <c r="G19" s="10">
        <f t="shared" si="0"/>
        <v>59.265500000000003</v>
      </c>
    </row>
    <row r="20" spans="1:7" x14ac:dyDescent="0.3">
      <c r="A20" s="6" t="s">
        <v>53</v>
      </c>
      <c r="B20" s="7" t="s">
        <v>54</v>
      </c>
      <c r="C20" s="7" t="s">
        <v>14</v>
      </c>
      <c r="D20" s="8">
        <v>100</v>
      </c>
      <c r="E20" s="8">
        <v>2530</v>
      </c>
      <c r="F20" s="10">
        <f>+IFERROR(VLOOKUP(A20,[1]Sheet5!$A$3:$D$1335,4,0),0)</f>
        <v>36.5</v>
      </c>
      <c r="G20" s="10">
        <f t="shared" si="0"/>
        <v>92.344999999999999</v>
      </c>
    </row>
    <row r="21" spans="1:7" x14ac:dyDescent="0.3">
      <c r="A21" s="6" t="s">
        <v>55</v>
      </c>
      <c r="B21" s="7" t="s">
        <v>56</v>
      </c>
      <c r="C21" s="7" t="s">
        <v>14</v>
      </c>
      <c r="D21" s="8">
        <v>300</v>
      </c>
      <c r="E21" s="8">
        <v>167</v>
      </c>
      <c r="F21" s="10">
        <f>+IFERROR(VLOOKUP(A21,[1]Sheet5!$A$3:$D$1335,4,0),0)</f>
        <v>30.25</v>
      </c>
      <c r="G21" s="10">
        <f t="shared" si="0"/>
        <v>5.0517500000000002</v>
      </c>
    </row>
    <row r="22" spans="1:7" x14ac:dyDescent="0.3">
      <c r="A22" s="6" t="s">
        <v>57</v>
      </c>
      <c r="B22" s="7" t="s">
        <v>58</v>
      </c>
      <c r="C22" s="7" t="s">
        <v>14</v>
      </c>
      <c r="D22" s="8">
        <v>500</v>
      </c>
      <c r="E22" s="8">
        <v>2490</v>
      </c>
      <c r="F22" s="10">
        <f>+IFERROR(VLOOKUP(A22,[1]Sheet5!$A$3:$D$1335,4,0),0)</f>
        <v>7.65</v>
      </c>
      <c r="G22" s="10">
        <f t="shared" si="0"/>
        <v>19.048500000000001</v>
      </c>
    </row>
    <row r="23" spans="1:7" x14ac:dyDescent="0.3">
      <c r="A23" s="6" t="s">
        <v>59</v>
      </c>
      <c r="B23" s="7" t="s">
        <v>60</v>
      </c>
      <c r="C23" s="7" t="s">
        <v>14</v>
      </c>
      <c r="D23" s="8">
        <v>150</v>
      </c>
      <c r="E23" s="8">
        <v>440</v>
      </c>
      <c r="F23" s="10">
        <f>+IFERROR(VLOOKUP(A23,[1]Sheet5!$A$3:$D$1335,4,0),0)</f>
        <v>30.5</v>
      </c>
      <c r="G23" s="10">
        <f t="shared" si="0"/>
        <v>13.42</v>
      </c>
    </row>
    <row r="24" spans="1:7" x14ac:dyDescent="0.3">
      <c r="A24" s="6" t="s">
        <v>61</v>
      </c>
      <c r="B24" s="7" t="s">
        <v>62</v>
      </c>
      <c r="C24" s="7" t="s">
        <v>14</v>
      </c>
      <c r="D24" s="8">
        <v>150</v>
      </c>
      <c r="E24" s="8">
        <v>162</v>
      </c>
      <c r="F24" s="10">
        <f>+IFERROR(VLOOKUP(A24,[1]Sheet5!$A$3:$D$1335,4,0),0)</f>
        <v>25.5</v>
      </c>
      <c r="G24" s="10">
        <f t="shared" si="0"/>
        <v>4.1310000000000002</v>
      </c>
    </row>
    <row r="25" spans="1:7" x14ac:dyDescent="0.3">
      <c r="A25" s="6" t="s">
        <v>63</v>
      </c>
      <c r="B25" s="7" t="s">
        <v>64</v>
      </c>
      <c r="C25" s="7" t="s">
        <v>14</v>
      </c>
      <c r="D25" s="8">
        <v>32</v>
      </c>
      <c r="E25" s="8">
        <v>176</v>
      </c>
      <c r="F25" s="10">
        <f>+IFERROR(VLOOKUP(A25,[1]Sheet5!$A$3:$D$1335,4,0),0)</f>
        <v>53.1</v>
      </c>
      <c r="G25" s="10">
        <f t="shared" si="0"/>
        <v>9.345600000000001</v>
      </c>
    </row>
    <row r="26" spans="1:7" x14ac:dyDescent="0.3">
      <c r="A26" s="6" t="s">
        <v>65</v>
      </c>
      <c r="B26" s="7" t="s">
        <v>64</v>
      </c>
      <c r="C26" s="7" t="s">
        <v>14</v>
      </c>
      <c r="D26" s="8">
        <v>32</v>
      </c>
      <c r="E26" s="8">
        <v>352</v>
      </c>
      <c r="F26" s="10">
        <f>+IFERROR(VLOOKUP(A26,[1]Sheet5!$A$3:$D$1335,4,0),0)</f>
        <v>68.900000000000006</v>
      </c>
      <c r="G26" s="10">
        <f t="shared" si="0"/>
        <v>24.252800000000004</v>
      </c>
    </row>
    <row r="27" spans="1:7" x14ac:dyDescent="0.3">
      <c r="A27" s="6" t="s">
        <v>66</v>
      </c>
      <c r="B27" s="7" t="s">
        <v>67</v>
      </c>
      <c r="C27" s="7" t="s">
        <v>14</v>
      </c>
      <c r="D27" s="8">
        <v>32</v>
      </c>
      <c r="E27" s="8">
        <v>32</v>
      </c>
      <c r="F27" s="10">
        <f>+IFERROR(VLOOKUP(A27,[1]Sheet5!$A$3:$D$1335,4,0),0)</f>
        <v>53.1</v>
      </c>
      <c r="G27" s="10">
        <f t="shared" si="0"/>
        <v>1.6992</v>
      </c>
    </row>
    <row r="28" spans="1:7" x14ac:dyDescent="0.3">
      <c r="A28" s="6" t="s">
        <v>68</v>
      </c>
      <c r="B28" s="7" t="s">
        <v>69</v>
      </c>
      <c r="C28" s="7" t="s">
        <v>14</v>
      </c>
      <c r="D28" s="8">
        <v>32</v>
      </c>
      <c r="E28" s="8">
        <v>179</v>
      </c>
      <c r="F28" s="10">
        <f>+IFERROR(VLOOKUP(A28,[1]Sheet5!$A$3:$D$1335,4,0),0)</f>
        <v>53.1</v>
      </c>
      <c r="G28" s="10">
        <f t="shared" si="0"/>
        <v>9.5048999999999992</v>
      </c>
    </row>
    <row r="29" spans="1:7" x14ac:dyDescent="0.3">
      <c r="A29" s="6" t="s">
        <v>70</v>
      </c>
      <c r="B29" s="7" t="s">
        <v>71</v>
      </c>
      <c r="C29" s="7" t="s">
        <v>14</v>
      </c>
      <c r="D29" s="8">
        <v>32</v>
      </c>
      <c r="E29" s="8">
        <v>240</v>
      </c>
      <c r="F29" s="10">
        <f>+IFERROR(VLOOKUP(A29,[1]Sheet5!$A$3:$D$1335,4,0),0)</f>
        <v>53.1</v>
      </c>
      <c r="G29" s="10">
        <f t="shared" si="0"/>
        <v>12.744</v>
      </c>
    </row>
    <row r="30" spans="1:7" x14ac:dyDescent="0.3">
      <c r="A30" s="6" t="s">
        <v>72</v>
      </c>
      <c r="B30" s="7" t="s">
        <v>73</v>
      </c>
      <c r="C30" s="7" t="s">
        <v>14</v>
      </c>
      <c r="D30" s="8">
        <v>32</v>
      </c>
      <c r="E30" s="8">
        <v>14</v>
      </c>
      <c r="F30" s="10">
        <f>+IFERROR(VLOOKUP(A30,[1]Sheet5!$A$3:$D$1335,4,0),0)</f>
        <v>53.1</v>
      </c>
      <c r="G30" s="10">
        <f t="shared" si="0"/>
        <v>0.74339999999999995</v>
      </c>
    </row>
    <row r="31" spans="1:7" x14ac:dyDescent="0.3">
      <c r="A31" s="6" t="s">
        <v>74</v>
      </c>
      <c r="B31" s="7" t="s">
        <v>73</v>
      </c>
      <c r="C31" s="7" t="s">
        <v>14</v>
      </c>
      <c r="D31" s="8">
        <v>32</v>
      </c>
      <c r="E31" s="8">
        <v>64</v>
      </c>
      <c r="F31" s="10">
        <f>+IFERROR(VLOOKUP(A31,[1]Sheet5!$A$3:$D$1335,4,0),0)</f>
        <v>68.900000000000006</v>
      </c>
      <c r="G31" s="10">
        <f t="shared" si="0"/>
        <v>4.4096000000000002</v>
      </c>
    </row>
    <row r="32" spans="1:7" x14ac:dyDescent="0.3">
      <c r="A32" s="6" t="s">
        <v>75</v>
      </c>
      <c r="B32" s="7" t="s">
        <v>73</v>
      </c>
      <c r="C32" s="7" t="s">
        <v>14</v>
      </c>
      <c r="D32" s="8">
        <v>32</v>
      </c>
      <c r="E32" s="8">
        <v>34</v>
      </c>
      <c r="F32" s="10">
        <f>+IFERROR(VLOOKUP(A32,[1]Sheet5!$A$3:$D$1335,4,0),0)</f>
        <v>53.1</v>
      </c>
      <c r="G32" s="10">
        <f t="shared" si="0"/>
        <v>1.8054000000000001</v>
      </c>
    </row>
    <row r="33" spans="1:7" x14ac:dyDescent="0.3">
      <c r="A33" s="6" t="s">
        <v>76</v>
      </c>
      <c r="B33" s="7" t="s">
        <v>77</v>
      </c>
      <c r="C33" s="7" t="s">
        <v>14</v>
      </c>
      <c r="D33" s="8">
        <v>50</v>
      </c>
      <c r="E33" s="8">
        <v>74</v>
      </c>
      <c r="F33" s="10">
        <f>+IFERROR(VLOOKUP(A33,[1]Sheet5!$A$3:$D$1335,4,0),0)</f>
        <v>182.2</v>
      </c>
      <c r="G33" s="10">
        <f t="shared" si="0"/>
        <v>13.482799999999999</v>
      </c>
    </row>
    <row r="34" spans="1:7" x14ac:dyDescent="0.3">
      <c r="A34" s="6" t="s">
        <v>78</v>
      </c>
      <c r="B34" s="7" t="s">
        <v>79</v>
      </c>
      <c r="C34" s="7" t="s">
        <v>14</v>
      </c>
      <c r="D34" s="8">
        <v>20</v>
      </c>
      <c r="E34" s="8">
        <v>45</v>
      </c>
      <c r="F34" s="10">
        <f>+IFERROR(VLOOKUP(A34,[1]Sheet5!$A$3:$D$1335,4,0),0)</f>
        <v>374.5</v>
      </c>
      <c r="G34" s="10">
        <f t="shared" si="0"/>
        <v>16.852499999999999</v>
      </c>
    </row>
    <row r="35" spans="1:7" x14ac:dyDescent="0.3">
      <c r="A35" s="6" t="s">
        <v>80</v>
      </c>
      <c r="B35" s="7" t="s">
        <v>81</v>
      </c>
      <c r="C35" s="7" t="s">
        <v>14</v>
      </c>
      <c r="D35" s="8">
        <v>20</v>
      </c>
      <c r="E35" s="8">
        <v>48</v>
      </c>
      <c r="F35" s="10">
        <f>+IFERROR(VLOOKUP(A35,[1]Sheet5!$A$3:$D$1335,4,0),0)</f>
        <v>379</v>
      </c>
      <c r="G35" s="10">
        <f t="shared" si="0"/>
        <v>18.192</v>
      </c>
    </row>
    <row r="36" spans="1:7" x14ac:dyDescent="0.3">
      <c r="A36" s="6" t="s">
        <v>82</v>
      </c>
      <c r="B36" s="7" t="s">
        <v>83</v>
      </c>
      <c r="C36" s="7" t="s">
        <v>14</v>
      </c>
      <c r="D36" s="8">
        <v>50</v>
      </c>
      <c r="E36" s="8">
        <v>50</v>
      </c>
      <c r="F36" s="10">
        <f>+IFERROR(VLOOKUP(A36,[1]Sheet5!$A$3:$D$1335,4,0),0)</f>
        <v>210</v>
      </c>
      <c r="G36" s="10">
        <f t="shared" si="0"/>
        <v>10.5</v>
      </c>
    </row>
    <row r="37" spans="1:7" x14ac:dyDescent="0.3">
      <c r="A37" s="6" t="s">
        <v>84</v>
      </c>
      <c r="B37" s="7" t="s">
        <v>85</v>
      </c>
      <c r="C37" s="7" t="s">
        <v>14</v>
      </c>
      <c r="D37" s="8">
        <v>50</v>
      </c>
      <c r="E37" s="8">
        <v>92</v>
      </c>
      <c r="F37" s="10">
        <f>+IFERROR(VLOOKUP(A37,[1]Sheet5!$A$3:$D$1335,4,0),0)</f>
        <v>214.5</v>
      </c>
      <c r="G37" s="10">
        <f t="shared" si="0"/>
        <v>19.734000000000002</v>
      </c>
    </row>
    <row r="38" spans="1:7" x14ac:dyDescent="0.3">
      <c r="A38" s="6" t="s">
        <v>86</v>
      </c>
      <c r="B38" s="7" t="s">
        <v>87</v>
      </c>
      <c r="C38" s="7" t="s">
        <v>14</v>
      </c>
      <c r="D38" s="8">
        <v>50</v>
      </c>
      <c r="E38" s="8">
        <v>14</v>
      </c>
      <c r="F38" s="10">
        <f>+IFERROR(VLOOKUP(A38,[1]Sheet5!$A$3:$D$1335,4,0),0)</f>
        <v>202.5</v>
      </c>
      <c r="G38" s="10">
        <f t="shared" si="0"/>
        <v>2.835</v>
      </c>
    </row>
    <row r="39" spans="1:7" x14ac:dyDescent="0.3">
      <c r="A39" s="6" t="s">
        <v>88</v>
      </c>
      <c r="B39" s="7" t="s">
        <v>89</v>
      </c>
      <c r="C39" s="7" t="s">
        <v>14</v>
      </c>
      <c r="D39" s="8">
        <v>20</v>
      </c>
      <c r="E39" s="8">
        <v>51</v>
      </c>
      <c r="F39" s="10">
        <f>+IFERROR(VLOOKUP(A39,[1]Sheet5!$A$3:$D$1335,4,0),0)</f>
        <v>421</v>
      </c>
      <c r="G39" s="10">
        <f t="shared" si="0"/>
        <v>21.471</v>
      </c>
    </row>
    <row r="40" spans="1:7" x14ac:dyDescent="0.3">
      <c r="A40" s="6" t="s">
        <v>90</v>
      </c>
      <c r="B40" s="7" t="s">
        <v>91</v>
      </c>
      <c r="C40" s="7" t="s">
        <v>14</v>
      </c>
      <c r="D40" s="8">
        <v>150</v>
      </c>
      <c r="E40" s="8">
        <v>50</v>
      </c>
      <c r="F40" s="10">
        <f>+IFERROR(VLOOKUP(A40,[1]Sheet5!$A$3:$D$1335,4,0),0)</f>
        <v>19.25</v>
      </c>
      <c r="G40" s="10">
        <f t="shared" si="0"/>
        <v>0.96250000000000002</v>
      </c>
    </row>
    <row r="41" spans="1:7" x14ac:dyDescent="0.3">
      <c r="A41" s="9" t="s">
        <v>366</v>
      </c>
      <c r="B41" s="10" t="s">
        <v>367</v>
      </c>
      <c r="C41" s="7" t="s">
        <v>14</v>
      </c>
      <c r="D41" s="8">
        <v>32</v>
      </c>
      <c r="E41" s="8">
        <v>23</v>
      </c>
      <c r="F41" s="10">
        <f>+IFERROR(VLOOKUP(A41,[1]Sheet5!$A$3:$D$1335,4,0),0)</f>
        <v>0</v>
      </c>
      <c r="G41" s="10">
        <f t="shared" si="0"/>
        <v>0</v>
      </c>
    </row>
    <row r="42" spans="1:7" x14ac:dyDescent="0.3">
      <c r="A42" s="9" t="s">
        <v>368</v>
      </c>
      <c r="B42" s="10" t="s">
        <v>369</v>
      </c>
      <c r="C42" s="7" t="s">
        <v>14</v>
      </c>
      <c r="D42" s="8">
        <v>32</v>
      </c>
      <c r="E42" s="8">
        <v>32</v>
      </c>
      <c r="F42" s="10">
        <f>+IFERROR(VLOOKUP(A42,[1]Sheet5!$A$3:$D$1335,4,0),0)</f>
        <v>0</v>
      </c>
      <c r="G42" s="10">
        <f t="shared" si="0"/>
        <v>0</v>
      </c>
    </row>
    <row r="43" spans="1:7" x14ac:dyDescent="0.3">
      <c r="A43" s="9" t="s">
        <v>378</v>
      </c>
      <c r="B43" s="10" t="s">
        <v>379</v>
      </c>
      <c r="C43" s="7" t="s">
        <v>14</v>
      </c>
      <c r="D43" s="8">
        <v>32</v>
      </c>
      <c r="E43" s="8">
        <v>160</v>
      </c>
      <c r="F43" s="10">
        <f>+IFERROR(VLOOKUP(A43,[1]Sheet5!$A$3:$D$1335,4,0),0)</f>
        <v>68.900000000000006</v>
      </c>
      <c r="G43" s="10">
        <f t="shared" si="0"/>
        <v>11.023999999999999</v>
      </c>
    </row>
    <row r="44" spans="1:7" s="14" customFormat="1" x14ac:dyDescent="0.3">
      <c r="A44" s="20" t="s">
        <v>410</v>
      </c>
      <c r="B44" s="20"/>
      <c r="C44" s="20"/>
      <c r="D44" s="15"/>
      <c r="E44" s="15"/>
      <c r="F44" s="15"/>
      <c r="G44" s="15">
        <f>SUM(G2:G43)</f>
        <v>912.26343499999973</v>
      </c>
    </row>
    <row r="45" spans="1:7" x14ac:dyDescent="0.3">
      <c r="A45" s="6" t="s">
        <v>107</v>
      </c>
      <c r="B45" s="7" t="s">
        <v>108</v>
      </c>
      <c r="C45" s="7" t="s">
        <v>106</v>
      </c>
      <c r="D45" s="8">
        <v>40</v>
      </c>
      <c r="E45" s="8">
        <v>135</v>
      </c>
      <c r="F45" s="10">
        <f>+IFERROR(VLOOKUP(A45,[1]Sheet5!$A$3:$D$1335,4,0),0)</f>
        <v>199.3</v>
      </c>
      <c r="G45" s="10">
        <f t="shared" si="0"/>
        <v>26.9055</v>
      </c>
    </row>
    <row r="46" spans="1:7" x14ac:dyDescent="0.3">
      <c r="A46" s="6" t="s">
        <v>109</v>
      </c>
      <c r="B46" s="7" t="s">
        <v>110</v>
      </c>
      <c r="C46" s="7" t="s">
        <v>106</v>
      </c>
      <c r="D46" s="8">
        <v>40</v>
      </c>
      <c r="E46" s="8">
        <v>305</v>
      </c>
      <c r="F46" s="10">
        <f>+IFERROR(VLOOKUP(A46,[1]Sheet5!$A$3:$D$1335,4,0),0)</f>
        <v>184.2</v>
      </c>
      <c r="G46" s="10">
        <f t="shared" si="0"/>
        <v>56.180999999999997</v>
      </c>
    </row>
    <row r="47" spans="1:7" x14ac:dyDescent="0.3">
      <c r="A47" s="6" t="s">
        <v>111</v>
      </c>
      <c r="B47" s="7" t="s">
        <v>112</v>
      </c>
      <c r="C47" s="7" t="s">
        <v>106</v>
      </c>
      <c r="D47" s="8">
        <v>80</v>
      </c>
      <c r="E47" s="8">
        <v>196</v>
      </c>
      <c r="F47" s="10">
        <f>+IFERROR(VLOOKUP(A47,[1]Sheet5!$A$3:$D$1335,4,0),0)</f>
        <v>116.99</v>
      </c>
      <c r="G47" s="10">
        <f t="shared" si="0"/>
        <v>22.930039999999998</v>
      </c>
    </row>
    <row r="48" spans="1:7" x14ac:dyDescent="0.3">
      <c r="A48" s="6" t="s">
        <v>115</v>
      </c>
      <c r="B48" s="7" t="s">
        <v>112</v>
      </c>
      <c r="C48" s="7" t="s">
        <v>106</v>
      </c>
      <c r="D48" s="8">
        <v>80</v>
      </c>
      <c r="E48" s="8">
        <v>1130</v>
      </c>
      <c r="F48" s="10">
        <f>+IFERROR(VLOOKUP(A48,[1]Sheet5!$A$3:$D$1335,4,0),0)</f>
        <v>112</v>
      </c>
      <c r="G48" s="10">
        <f t="shared" si="0"/>
        <v>126.56</v>
      </c>
    </row>
    <row r="49" spans="1:7" x14ac:dyDescent="0.3">
      <c r="A49" s="6" t="s">
        <v>116</v>
      </c>
      <c r="B49" s="7" t="s">
        <v>113</v>
      </c>
      <c r="C49" s="7" t="s">
        <v>106</v>
      </c>
      <c r="D49" s="8">
        <v>50</v>
      </c>
      <c r="E49" s="8">
        <v>970</v>
      </c>
      <c r="F49" s="10">
        <f>+IFERROR(VLOOKUP(A49,[1]Sheet5!$A$3:$D$1335,4,0),0)</f>
        <v>172.8</v>
      </c>
      <c r="G49" s="10">
        <f t="shared" si="0"/>
        <v>167.61600000000001</v>
      </c>
    </row>
    <row r="50" spans="1:7" x14ac:dyDescent="0.3">
      <c r="A50" s="6" t="s">
        <v>117</v>
      </c>
      <c r="B50" s="7" t="s">
        <v>114</v>
      </c>
      <c r="C50" s="7" t="s">
        <v>106</v>
      </c>
      <c r="D50" s="8">
        <v>30</v>
      </c>
      <c r="E50" s="8">
        <v>1116</v>
      </c>
      <c r="F50" s="10">
        <f>+IFERROR(VLOOKUP(A50,[1]Sheet5!$A$3:$D$1335,4,0),0)</f>
        <v>276.89999999999998</v>
      </c>
      <c r="G50" s="10">
        <f t="shared" si="0"/>
        <v>309.02039999999994</v>
      </c>
    </row>
    <row r="51" spans="1:7" x14ac:dyDescent="0.3">
      <c r="A51" s="6" t="s">
        <v>118</v>
      </c>
      <c r="B51" s="7" t="s">
        <v>119</v>
      </c>
      <c r="C51" s="7" t="s">
        <v>106</v>
      </c>
      <c r="D51" s="8">
        <v>200</v>
      </c>
      <c r="E51" s="8">
        <v>1692</v>
      </c>
      <c r="F51" s="10">
        <f>+IFERROR(VLOOKUP(A51,[1]Sheet5!$A$3:$D$1335,4,0),0)</f>
        <v>56.949999999999996</v>
      </c>
      <c r="G51" s="10">
        <f t="shared" si="0"/>
        <v>96.359399999999994</v>
      </c>
    </row>
    <row r="52" spans="1:7" x14ac:dyDescent="0.3">
      <c r="A52" s="6" t="s">
        <v>120</v>
      </c>
      <c r="B52" s="7" t="s">
        <v>121</v>
      </c>
      <c r="C52" s="7" t="s">
        <v>106</v>
      </c>
      <c r="D52" s="8">
        <v>80</v>
      </c>
      <c r="E52" s="8">
        <v>12699</v>
      </c>
      <c r="F52" s="10">
        <f>+IFERROR(VLOOKUP(A52,[1]Sheet5!$A$3:$D$1335,4,0),0)</f>
        <v>107.65</v>
      </c>
      <c r="G52" s="10">
        <f t="shared" si="0"/>
        <v>1367.0473500000001</v>
      </c>
    </row>
    <row r="53" spans="1:7" x14ac:dyDescent="0.3">
      <c r="A53" s="6" t="s">
        <v>122</v>
      </c>
      <c r="B53" s="7" t="s">
        <v>123</v>
      </c>
      <c r="C53" s="7" t="s">
        <v>106</v>
      </c>
      <c r="D53" s="8">
        <v>60</v>
      </c>
      <c r="E53" s="8">
        <v>348</v>
      </c>
      <c r="F53" s="10">
        <f>+IFERROR(VLOOKUP(A53,[1]Sheet5!$A$3:$D$1335,4,0),0)</f>
        <v>164</v>
      </c>
      <c r="G53" s="10">
        <f t="shared" si="0"/>
        <v>57.072000000000003</v>
      </c>
    </row>
    <row r="54" spans="1:7" x14ac:dyDescent="0.3">
      <c r="A54" s="6" t="s">
        <v>124</v>
      </c>
      <c r="B54" s="7" t="s">
        <v>125</v>
      </c>
      <c r="C54" s="7" t="s">
        <v>106</v>
      </c>
      <c r="D54" s="8">
        <v>500</v>
      </c>
      <c r="E54" s="8">
        <v>6350</v>
      </c>
      <c r="F54" s="10">
        <f>+IFERROR(VLOOKUP(A54,[1]Sheet5!$A$3:$D$1335,4,0),0)</f>
        <v>20.75</v>
      </c>
      <c r="G54" s="10">
        <f t="shared" si="0"/>
        <v>131.76249999999999</v>
      </c>
    </row>
    <row r="55" spans="1:7" x14ac:dyDescent="0.3">
      <c r="A55" s="6" t="s">
        <v>126</v>
      </c>
      <c r="B55" s="7" t="s">
        <v>127</v>
      </c>
      <c r="C55" s="7" t="s">
        <v>106</v>
      </c>
      <c r="D55" s="8">
        <v>600</v>
      </c>
      <c r="E55" s="8">
        <v>4150</v>
      </c>
      <c r="F55" s="10">
        <f>+IFERROR(VLOOKUP(A55,[1]Sheet5!$A$3:$D$1335,4,0),0)</f>
        <v>29.75</v>
      </c>
      <c r="G55" s="10">
        <f t="shared" si="0"/>
        <v>123.46250000000001</v>
      </c>
    </row>
    <row r="56" spans="1:7" x14ac:dyDescent="0.3">
      <c r="A56" s="6" t="s">
        <v>128</v>
      </c>
      <c r="B56" s="7" t="s">
        <v>129</v>
      </c>
      <c r="C56" s="7" t="s">
        <v>106</v>
      </c>
      <c r="D56" s="8">
        <v>300</v>
      </c>
      <c r="E56" s="8">
        <v>8625</v>
      </c>
      <c r="F56" s="10">
        <f>+IFERROR(VLOOKUP(A56,[1]Sheet5!$A$3:$D$1335,4,0),0)</f>
        <v>47.5</v>
      </c>
      <c r="G56" s="10">
        <f t="shared" si="0"/>
        <v>409.6875</v>
      </c>
    </row>
    <row r="57" spans="1:7" x14ac:dyDescent="0.3">
      <c r="A57" s="6" t="s">
        <v>130</v>
      </c>
      <c r="B57" s="7" t="s">
        <v>131</v>
      </c>
      <c r="C57" s="7" t="s">
        <v>106</v>
      </c>
      <c r="D57" s="8">
        <v>200</v>
      </c>
      <c r="E57" s="8">
        <v>494</v>
      </c>
      <c r="F57" s="10">
        <f>+IFERROR(VLOOKUP(A57,[1]Sheet5!$A$3:$D$1335,4,0),0)</f>
        <v>70.349999999999994</v>
      </c>
      <c r="G57" s="10">
        <f t="shared" si="0"/>
        <v>34.752899999999997</v>
      </c>
    </row>
    <row r="58" spans="1:7" x14ac:dyDescent="0.3">
      <c r="A58" s="6" t="s">
        <v>132</v>
      </c>
      <c r="B58" s="7" t="s">
        <v>133</v>
      </c>
      <c r="C58" s="7" t="s">
        <v>106</v>
      </c>
      <c r="D58" s="8">
        <v>150</v>
      </c>
      <c r="E58" s="8">
        <v>101</v>
      </c>
      <c r="F58" s="10">
        <f>+IFERROR(VLOOKUP(A58,[1]Sheet5!$A$3:$D$1335,4,0),0)</f>
        <v>90.6</v>
      </c>
      <c r="G58" s="10">
        <f t="shared" si="0"/>
        <v>9.150599999999999</v>
      </c>
    </row>
    <row r="59" spans="1:7" x14ac:dyDescent="0.3">
      <c r="A59" s="6" t="s">
        <v>134</v>
      </c>
      <c r="B59" s="7" t="s">
        <v>135</v>
      </c>
      <c r="C59" s="7" t="s">
        <v>106</v>
      </c>
      <c r="D59" s="8">
        <v>300</v>
      </c>
      <c r="E59" s="8">
        <v>9656</v>
      </c>
      <c r="F59" s="10">
        <f>+IFERROR(VLOOKUP(A59,[1]Sheet5!$A$3:$D$1335,4,0),0)</f>
        <v>29.5</v>
      </c>
      <c r="G59" s="10">
        <f t="shared" si="0"/>
        <v>284.85199999999998</v>
      </c>
    </row>
    <row r="60" spans="1:7" x14ac:dyDescent="0.3">
      <c r="A60" s="6" t="s">
        <v>136</v>
      </c>
      <c r="B60" s="7" t="s">
        <v>137</v>
      </c>
      <c r="C60" s="7" t="s">
        <v>106</v>
      </c>
      <c r="D60" s="8">
        <v>250</v>
      </c>
      <c r="E60" s="8">
        <v>14565</v>
      </c>
      <c r="F60" s="10">
        <f>+IFERROR(VLOOKUP(A60,[1]Sheet5!$A$3:$D$1335,4,0),0)</f>
        <v>72.95</v>
      </c>
      <c r="G60" s="10">
        <f t="shared" si="0"/>
        <v>1062.51675</v>
      </c>
    </row>
    <row r="61" spans="1:7" x14ac:dyDescent="0.3">
      <c r="A61" s="6" t="s">
        <v>138</v>
      </c>
      <c r="B61" s="7" t="s">
        <v>139</v>
      </c>
      <c r="C61" s="7" t="s">
        <v>106</v>
      </c>
      <c r="D61" s="8">
        <v>150</v>
      </c>
      <c r="E61" s="8">
        <v>833</v>
      </c>
      <c r="F61" s="10">
        <f>+IFERROR(VLOOKUP(A61,[1]Sheet5!$A$3:$D$1335,4,0),0)</f>
        <v>111.3</v>
      </c>
      <c r="G61" s="10">
        <f t="shared" si="0"/>
        <v>92.712899999999991</v>
      </c>
    </row>
    <row r="62" spans="1:7" x14ac:dyDescent="0.3">
      <c r="A62" s="6" t="s">
        <v>140</v>
      </c>
      <c r="B62" s="7" t="s">
        <v>141</v>
      </c>
      <c r="C62" s="7" t="s">
        <v>106</v>
      </c>
      <c r="D62" s="8">
        <v>100</v>
      </c>
      <c r="E62" s="8">
        <v>144</v>
      </c>
      <c r="F62" s="10">
        <f>+IFERROR(VLOOKUP(A62,[1]Sheet5!$A$3:$D$1335,4,0),0)</f>
        <v>146.5</v>
      </c>
      <c r="G62" s="10">
        <f t="shared" si="0"/>
        <v>21.096</v>
      </c>
    </row>
    <row r="63" spans="1:7" x14ac:dyDescent="0.3">
      <c r="A63" s="6" t="s">
        <v>142</v>
      </c>
      <c r="B63" s="7" t="s">
        <v>143</v>
      </c>
      <c r="C63" s="7" t="s">
        <v>106</v>
      </c>
      <c r="D63" s="8">
        <v>400</v>
      </c>
      <c r="E63" s="8">
        <v>7689</v>
      </c>
      <c r="F63" s="10">
        <f>+IFERROR(VLOOKUP(A63,[1]Sheet5!$A$3:$D$1335,4,0),0)</f>
        <v>41.7</v>
      </c>
      <c r="G63" s="10">
        <f t="shared" si="0"/>
        <v>320.63130000000007</v>
      </c>
    </row>
    <row r="64" spans="1:7" x14ac:dyDescent="0.3">
      <c r="A64" s="6" t="s">
        <v>144</v>
      </c>
      <c r="B64" s="7" t="s">
        <v>145</v>
      </c>
      <c r="C64" s="7" t="s">
        <v>106</v>
      </c>
      <c r="D64" s="8">
        <v>150</v>
      </c>
      <c r="E64" s="8">
        <v>15320</v>
      </c>
      <c r="F64" s="10">
        <f>+IFERROR(VLOOKUP(A64,[1]Sheet5!$A$3:$D$1335,4,0),0)</f>
        <v>94</v>
      </c>
      <c r="G64" s="10">
        <f t="shared" si="0"/>
        <v>1440.08</v>
      </c>
    </row>
    <row r="65" spans="1:7" x14ac:dyDescent="0.3">
      <c r="A65" s="6" t="s">
        <v>146</v>
      </c>
      <c r="B65" s="7" t="s">
        <v>147</v>
      </c>
      <c r="C65" s="7" t="s">
        <v>106</v>
      </c>
      <c r="D65" s="8">
        <v>50</v>
      </c>
      <c r="E65" s="8">
        <v>147</v>
      </c>
      <c r="F65" s="10">
        <f>+IFERROR(VLOOKUP(A65,[1]Sheet5!$A$3:$D$1335,4,0),0)</f>
        <v>194</v>
      </c>
      <c r="G65" s="10">
        <f t="shared" si="0"/>
        <v>28.518000000000001</v>
      </c>
    </row>
    <row r="66" spans="1:7" x14ac:dyDescent="0.3">
      <c r="A66" s="6" t="s">
        <v>148</v>
      </c>
      <c r="B66" s="7" t="s">
        <v>149</v>
      </c>
      <c r="C66" s="7" t="s">
        <v>106</v>
      </c>
      <c r="D66" s="8">
        <v>150</v>
      </c>
      <c r="E66" s="8">
        <v>947</v>
      </c>
      <c r="F66" s="10">
        <f>+IFERROR(VLOOKUP(A66,[1]Sheet5!$A$3:$D$1335,4,0),0)</f>
        <v>29</v>
      </c>
      <c r="G66" s="10">
        <f t="shared" si="0"/>
        <v>27.463000000000001</v>
      </c>
    </row>
    <row r="67" spans="1:7" x14ac:dyDescent="0.3">
      <c r="A67" s="6" t="s">
        <v>150</v>
      </c>
      <c r="B67" s="7" t="s">
        <v>151</v>
      </c>
      <c r="C67" s="7" t="s">
        <v>106</v>
      </c>
      <c r="D67" s="8">
        <v>30</v>
      </c>
      <c r="E67" s="8">
        <v>165</v>
      </c>
      <c r="F67" s="10">
        <f>+IFERROR(VLOOKUP(A67,[1]Sheet5!$A$3:$D$1335,4,0),0)</f>
        <v>96</v>
      </c>
      <c r="G67" s="10">
        <f t="shared" ref="G67:G130" si="1">+E67*F67/1000</f>
        <v>15.84</v>
      </c>
    </row>
    <row r="68" spans="1:7" x14ac:dyDescent="0.3">
      <c r="A68" s="6" t="s">
        <v>152</v>
      </c>
      <c r="B68" s="7" t="s">
        <v>153</v>
      </c>
      <c r="C68" s="7" t="s">
        <v>106</v>
      </c>
      <c r="D68" s="8">
        <v>200</v>
      </c>
      <c r="E68" s="8">
        <v>397</v>
      </c>
      <c r="F68" s="10">
        <f>+IFERROR(VLOOKUP(A68,[1]Sheet5!$A$3:$D$1335,4,0),0)</f>
        <v>26.62</v>
      </c>
      <c r="G68" s="10">
        <f t="shared" si="1"/>
        <v>10.568140000000001</v>
      </c>
    </row>
    <row r="69" spans="1:7" x14ac:dyDescent="0.3">
      <c r="A69" s="6" t="s">
        <v>154</v>
      </c>
      <c r="B69" s="7" t="s">
        <v>155</v>
      </c>
      <c r="C69" s="7" t="s">
        <v>106</v>
      </c>
      <c r="D69" s="8">
        <v>150</v>
      </c>
      <c r="E69" s="8">
        <v>75</v>
      </c>
      <c r="F69" s="10">
        <f>+IFERROR(VLOOKUP(A69,[1]Sheet5!$A$3:$D$1335,4,0),0)</f>
        <v>29</v>
      </c>
      <c r="G69" s="10">
        <f t="shared" si="1"/>
        <v>2.1749999999999998</v>
      </c>
    </row>
    <row r="70" spans="1:7" x14ac:dyDescent="0.3">
      <c r="A70" s="6" t="s">
        <v>156</v>
      </c>
      <c r="B70" s="7" t="s">
        <v>157</v>
      </c>
      <c r="C70" s="7" t="s">
        <v>106</v>
      </c>
      <c r="D70" s="8">
        <v>75</v>
      </c>
      <c r="E70" s="8">
        <v>919</v>
      </c>
      <c r="F70" s="10">
        <f>+IFERROR(VLOOKUP(A70,[1]Sheet5!$A$3:$D$1335,4,0),0)</f>
        <v>57</v>
      </c>
      <c r="G70" s="10">
        <f t="shared" si="1"/>
        <v>52.383000000000003</v>
      </c>
    </row>
    <row r="71" spans="1:7" x14ac:dyDescent="0.3">
      <c r="A71" s="6" t="s">
        <v>158</v>
      </c>
      <c r="B71" s="7" t="s">
        <v>159</v>
      </c>
      <c r="C71" s="7" t="s">
        <v>106</v>
      </c>
      <c r="D71" s="8">
        <v>40</v>
      </c>
      <c r="E71" s="8">
        <v>253</v>
      </c>
      <c r="F71" s="10">
        <f>+IFERROR(VLOOKUP(A71,[1]Sheet5!$A$3:$D$1335,4,0),0)</f>
        <v>80.2</v>
      </c>
      <c r="G71" s="10">
        <f t="shared" si="1"/>
        <v>20.290600000000001</v>
      </c>
    </row>
    <row r="72" spans="1:7" x14ac:dyDescent="0.3">
      <c r="A72" s="6" t="s">
        <v>160</v>
      </c>
      <c r="B72" s="7" t="s">
        <v>161</v>
      </c>
      <c r="C72" s="7" t="s">
        <v>106</v>
      </c>
      <c r="D72" s="8">
        <v>120</v>
      </c>
      <c r="E72" s="8">
        <v>384</v>
      </c>
      <c r="F72" s="10">
        <f>+IFERROR(VLOOKUP(A72,[1]Sheet5!$A$3:$D$1335,4,0),0)</f>
        <v>68.7</v>
      </c>
      <c r="G72" s="10">
        <f t="shared" si="1"/>
        <v>26.380800000000004</v>
      </c>
    </row>
    <row r="73" spans="1:7" x14ac:dyDescent="0.3">
      <c r="A73" s="6" t="s">
        <v>162</v>
      </c>
      <c r="B73" s="7" t="s">
        <v>163</v>
      </c>
      <c r="C73" s="7" t="s">
        <v>106</v>
      </c>
      <c r="D73" s="8">
        <v>400</v>
      </c>
      <c r="E73" s="8">
        <v>131</v>
      </c>
      <c r="F73" s="10">
        <f>+IFERROR(VLOOKUP(A73,[1]Sheet5!$A$3:$D$1335,4,0),0)</f>
        <v>23</v>
      </c>
      <c r="G73" s="10">
        <f t="shared" si="1"/>
        <v>3.0129999999999999</v>
      </c>
    </row>
    <row r="74" spans="1:7" x14ac:dyDescent="0.3">
      <c r="A74" s="6" t="s">
        <v>164</v>
      </c>
      <c r="B74" s="7" t="s">
        <v>165</v>
      </c>
      <c r="C74" s="7" t="s">
        <v>106</v>
      </c>
      <c r="D74" s="8">
        <v>120</v>
      </c>
      <c r="E74" s="8">
        <v>22</v>
      </c>
      <c r="F74" s="10">
        <f>+IFERROR(VLOOKUP(A74,[1]Sheet5!$A$3:$D$1335,4,0),0)</f>
        <v>59.75</v>
      </c>
      <c r="G74" s="10">
        <f t="shared" si="1"/>
        <v>1.3145</v>
      </c>
    </row>
    <row r="75" spans="1:7" x14ac:dyDescent="0.3">
      <c r="A75" s="6" t="s">
        <v>166</v>
      </c>
      <c r="B75" s="7" t="s">
        <v>167</v>
      </c>
      <c r="C75" s="7" t="s">
        <v>106</v>
      </c>
      <c r="D75" s="8">
        <v>50</v>
      </c>
      <c r="E75" s="8">
        <v>202</v>
      </c>
      <c r="F75" s="10">
        <f>+IFERROR(VLOOKUP(A75,[1]Sheet5!$A$3:$D$1335,4,0),0)</f>
        <v>78.5</v>
      </c>
      <c r="G75" s="10">
        <f t="shared" si="1"/>
        <v>15.856999999999999</v>
      </c>
    </row>
    <row r="76" spans="1:7" x14ac:dyDescent="0.3">
      <c r="A76" s="6" t="s">
        <v>168</v>
      </c>
      <c r="B76" s="7" t="s">
        <v>169</v>
      </c>
      <c r="C76" s="7" t="s">
        <v>106</v>
      </c>
      <c r="D76" s="8">
        <v>40</v>
      </c>
      <c r="E76" s="8">
        <v>316</v>
      </c>
      <c r="F76" s="10">
        <f>+IFERROR(VLOOKUP(A76,[1]Sheet5!$A$3:$D$1335,4,0),0)</f>
        <v>111.1</v>
      </c>
      <c r="G76" s="10">
        <f t="shared" si="1"/>
        <v>35.107599999999998</v>
      </c>
    </row>
    <row r="77" spans="1:7" x14ac:dyDescent="0.3">
      <c r="A77" s="6" t="s">
        <v>170</v>
      </c>
      <c r="B77" s="7" t="s">
        <v>171</v>
      </c>
      <c r="C77" s="7" t="s">
        <v>106</v>
      </c>
      <c r="D77" s="8">
        <v>50</v>
      </c>
      <c r="E77" s="8">
        <v>7855</v>
      </c>
      <c r="F77" s="10">
        <f>+IFERROR(VLOOKUP(A77,[1]Sheet5!$A$3:$D$1335,4,0),0)</f>
        <v>76.5</v>
      </c>
      <c r="G77" s="10">
        <f t="shared" si="1"/>
        <v>600.90750000000003</v>
      </c>
    </row>
    <row r="78" spans="1:7" x14ac:dyDescent="0.3">
      <c r="A78" s="6" t="s">
        <v>172</v>
      </c>
      <c r="B78" s="7" t="s">
        <v>173</v>
      </c>
      <c r="C78" s="7" t="s">
        <v>106</v>
      </c>
      <c r="D78" s="8">
        <v>150</v>
      </c>
      <c r="E78" s="8">
        <v>262</v>
      </c>
      <c r="F78" s="10">
        <f>+IFERROR(VLOOKUP(A78,[1]Sheet5!$A$3:$D$1335,4,0),0)</f>
        <v>49.77</v>
      </c>
      <c r="G78" s="10">
        <f t="shared" si="1"/>
        <v>13.039740000000002</v>
      </c>
    </row>
    <row r="79" spans="1:7" x14ac:dyDescent="0.3">
      <c r="A79" s="6" t="s">
        <v>174</v>
      </c>
      <c r="B79" s="7" t="s">
        <v>49</v>
      </c>
      <c r="C79" s="7" t="s">
        <v>106</v>
      </c>
      <c r="D79" s="8">
        <v>100</v>
      </c>
      <c r="E79" s="8">
        <v>373</v>
      </c>
      <c r="F79" s="10">
        <f>+IFERROR(VLOOKUP(A79,[1]Sheet5!$A$3:$D$1335,4,0),0)</f>
        <v>67.150000000000006</v>
      </c>
      <c r="G79" s="10">
        <f t="shared" si="1"/>
        <v>25.046950000000002</v>
      </c>
    </row>
    <row r="80" spans="1:7" x14ac:dyDescent="0.3">
      <c r="A80" s="6" t="s">
        <v>175</v>
      </c>
      <c r="B80" s="7" t="s">
        <v>50</v>
      </c>
      <c r="C80" s="7" t="s">
        <v>106</v>
      </c>
      <c r="D80" s="8">
        <v>50</v>
      </c>
      <c r="E80" s="8">
        <v>111</v>
      </c>
      <c r="F80" s="10">
        <f>+IFERROR(VLOOKUP(A80,[1]Sheet5!$A$3:$D$1335,4,0),0)</f>
        <v>109.5</v>
      </c>
      <c r="G80" s="10">
        <f t="shared" si="1"/>
        <v>12.154500000000001</v>
      </c>
    </row>
    <row r="81" spans="1:7" x14ac:dyDescent="0.3">
      <c r="A81" s="6" t="s">
        <v>176</v>
      </c>
      <c r="B81" s="7" t="s">
        <v>177</v>
      </c>
      <c r="C81" s="7" t="s">
        <v>106</v>
      </c>
      <c r="D81" s="8">
        <v>75</v>
      </c>
      <c r="E81" s="8">
        <v>1062</v>
      </c>
      <c r="F81" s="10">
        <f>+IFERROR(VLOOKUP(A81,[1]Sheet5!$A$3:$D$1335,4,0),0)</f>
        <v>62.62</v>
      </c>
      <c r="G81" s="10">
        <f t="shared" si="1"/>
        <v>66.502440000000007</v>
      </c>
    </row>
    <row r="82" spans="1:7" x14ac:dyDescent="0.3">
      <c r="A82" s="6" t="s">
        <v>178</v>
      </c>
      <c r="B82" s="7" t="s">
        <v>179</v>
      </c>
      <c r="C82" s="7" t="s">
        <v>106</v>
      </c>
      <c r="D82" s="8">
        <v>100</v>
      </c>
      <c r="E82" s="8">
        <v>518</v>
      </c>
      <c r="F82" s="10">
        <f>+IFERROR(VLOOKUP(A82,[1]Sheet5!$A$3:$D$1335,4,0),0)</f>
        <v>89.75</v>
      </c>
      <c r="G82" s="10">
        <f t="shared" si="1"/>
        <v>46.490499999999997</v>
      </c>
    </row>
    <row r="83" spans="1:7" x14ac:dyDescent="0.3">
      <c r="A83" s="6" t="s">
        <v>180</v>
      </c>
      <c r="B83" s="7" t="s">
        <v>181</v>
      </c>
      <c r="C83" s="7" t="s">
        <v>106</v>
      </c>
      <c r="D83" s="8">
        <v>150</v>
      </c>
      <c r="E83" s="8">
        <v>591</v>
      </c>
      <c r="F83" s="10">
        <f>+IFERROR(VLOOKUP(A83,[1]Sheet5!$A$3:$D$1335,4,0),0)</f>
        <v>62</v>
      </c>
      <c r="G83" s="10">
        <f t="shared" si="1"/>
        <v>36.642000000000003</v>
      </c>
    </row>
    <row r="84" spans="1:7" x14ac:dyDescent="0.3">
      <c r="A84" s="6" t="s">
        <v>182</v>
      </c>
      <c r="B84" s="7" t="s">
        <v>183</v>
      </c>
      <c r="C84" s="7" t="s">
        <v>106</v>
      </c>
      <c r="D84" s="8">
        <v>75</v>
      </c>
      <c r="E84" s="8">
        <v>518</v>
      </c>
      <c r="F84" s="10">
        <f>+IFERROR(VLOOKUP(A84,[1]Sheet5!$A$3:$D$1335,4,0),0)</f>
        <v>66.75</v>
      </c>
      <c r="G84" s="10">
        <f t="shared" si="1"/>
        <v>34.576500000000003</v>
      </c>
    </row>
    <row r="85" spans="1:7" x14ac:dyDescent="0.3">
      <c r="A85" s="6" t="s">
        <v>184</v>
      </c>
      <c r="B85" s="7" t="s">
        <v>185</v>
      </c>
      <c r="C85" s="7" t="s">
        <v>106</v>
      </c>
      <c r="D85" s="8">
        <v>150</v>
      </c>
      <c r="E85" s="8">
        <v>1963</v>
      </c>
      <c r="F85" s="10">
        <f>+IFERROR(VLOOKUP(A85,[1]Sheet5!$A$3:$D$1335,4,0),0)</f>
        <v>49.25</v>
      </c>
      <c r="G85" s="10">
        <f t="shared" si="1"/>
        <v>96.677750000000003</v>
      </c>
    </row>
    <row r="86" spans="1:7" x14ac:dyDescent="0.3">
      <c r="A86" s="6" t="s">
        <v>186</v>
      </c>
      <c r="B86" s="7" t="s">
        <v>187</v>
      </c>
      <c r="C86" s="7" t="s">
        <v>106</v>
      </c>
      <c r="D86" s="8">
        <v>100</v>
      </c>
      <c r="E86" s="8">
        <v>43</v>
      </c>
      <c r="F86" s="10">
        <f>+IFERROR(VLOOKUP(A86,[1]Sheet5!$A$3:$D$1335,4,0),0)</f>
        <v>46.25</v>
      </c>
      <c r="G86" s="10">
        <f t="shared" si="1"/>
        <v>1.98875</v>
      </c>
    </row>
    <row r="87" spans="1:7" x14ac:dyDescent="0.3">
      <c r="A87" s="6" t="s">
        <v>188</v>
      </c>
      <c r="B87" s="7" t="s">
        <v>189</v>
      </c>
      <c r="C87" s="7" t="s">
        <v>106</v>
      </c>
      <c r="D87" s="8">
        <v>100</v>
      </c>
      <c r="E87" s="8">
        <v>107</v>
      </c>
      <c r="F87" s="10">
        <f>+IFERROR(VLOOKUP(A87,[1]Sheet5!$A$3:$D$1335,4,0),0)</f>
        <v>41</v>
      </c>
      <c r="G87" s="10">
        <f t="shared" si="1"/>
        <v>4.3869999999999996</v>
      </c>
    </row>
    <row r="88" spans="1:7" x14ac:dyDescent="0.3">
      <c r="A88" s="6" t="s">
        <v>190</v>
      </c>
      <c r="B88" s="7" t="s">
        <v>191</v>
      </c>
      <c r="C88" s="7" t="s">
        <v>106</v>
      </c>
      <c r="D88" s="8">
        <v>250</v>
      </c>
      <c r="E88" s="8">
        <v>338</v>
      </c>
      <c r="F88" s="10">
        <f>+IFERROR(VLOOKUP(A88,[1]Sheet5!$A$3:$D$1335,4,0),0)</f>
        <v>28</v>
      </c>
      <c r="G88" s="10">
        <f t="shared" si="1"/>
        <v>9.4640000000000004</v>
      </c>
    </row>
    <row r="89" spans="1:7" x14ac:dyDescent="0.3">
      <c r="A89" s="6" t="s">
        <v>192</v>
      </c>
      <c r="B89" s="7" t="s">
        <v>193</v>
      </c>
      <c r="C89" s="7" t="s">
        <v>106</v>
      </c>
      <c r="D89" s="8">
        <v>200</v>
      </c>
      <c r="E89" s="8">
        <v>235</v>
      </c>
      <c r="F89" s="10">
        <f>+IFERROR(VLOOKUP(A89,[1]Sheet5!$A$3:$D$1335,4,0),0)</f>
        <v>56.45</v>
      </c>
      <c r="G89" s="10">
        <f t="shared" si="1"/>
        <v>13.265750000000001</v>
      </c>
    </row>
    <row r="90" spans="1:7" x14ac:dyDescent="0.3">
      <c r="A90" s="6" t="s">
        <v>194</v>
      </c>
      <c r="B90" s="7" t="s">
        <v>195</v>
      </c>
      <c r="C90" s="7" t="s">
        <v>106</v>
      </c>
      <c r="D90" s="8">
        <v>100</v>
      </c>
      <c r="E90" s="8">
        <v>65</v>
      </c>
      <c r="F90" s="10">
        <f>+IFERROR(VLOOKUP(A90,[1]Sheet5!$A$3:$D$1335,4,0),0)</f>
        <v>90.5</v>
      </c>
      <c r="G90" s="10">
        <f t="shared" si="1"/>
        <v>5.8825000000000003</v>
      </c>
    </row>
    <row r="91" spans="1:7" x14ac:dyDescent="0.3">
      <c r="A91" s="6" t="s">
        <v>196</v>
      </c>
      <c r="B91" s="7" t="s">
        <v>197</v>
      </c>
      <c r="C91" s="7" t="s">
        <v>106</v>
      </c>
      <c r="D91" s="8">
        <v>200</v>
      </c>
      <c r="E91" s="8">
        <v>2559</v>
      </c>
      <c r="F91" s="10">
        <f>+IFERROR(VLOOKUP(A91,[1]Sheet5!$A$3:$D$1335,4,0),0)</f>
        <v>44.6</v>
      </c>
      <c r="G91" s="10">
        <f t="shared" si="1"/>
        <v>114.13140000000001</v>
      </c>
    </row>
    <row r="92" spans="1:7" x14ac:dyDescent="0.3">
      <c r="A92" s="6" t="s">
        <v>198</v>
      </c>
      <c r="B92" s="7" t="s">
        <v>199</v>
      </c>
      <c r="C92" s="7" t="s">
        <v>106</v>
      </c>
      <c r="D92" s="8">
        <v>32</v>
      </c>
      <c r="E92" s="8">
        <v>32</v>
      </c>
      <c r="F92" s="10">
        <f>+IFERROR(VLOOKUP(A92,[1]Sheet5!$A$3:$D$1335,4,0),0)</f>
        <v>73.8</v>
      </c>
      <c r="G92" s="10">
        <f t="shared" si="1"/>
        <v>2.3615999999999997</v>
      </c>
    </row>
    <row r="93" spans="1:7" x14ac:dyDescent="0.3">
      <c r="A93" s="6" t="s">
        <v>200</v>
      </c>
      <c r="B93" s="7" t="s">
        <v>201</v>
      </c>
      <c r="C93" s="7" t="s">
        <v>106</v>
      </c>
      <c r="D93" s="8">
        <v>30</v>
      </c>
      <c r="E93" s="8">
        <v>68</v>
      </c>
      <c r="F93" s="10">
        <f>+IFERROR(VLOOKUP(A93,[1]Sheet5!$A$3:$D$1335,4,0),0)</f>
        <v>267</v>
      </c>
      <c r="G93" s="10">
        <f t="shared" si="1"/>
        <v>18.155999999999999</v>
      </c>
    </row>
    <row r="94" spans="1:7" x14ac:dyDescent="0.3">
      <c r="A94" s="6" t="s">
        <v>202</v>
      </c>
      <c r="B94" s="7" t="s">
        <v>203</v>
      </c>
      <c r="C94" s="7" t="s">
        <v>106</v>
      </c>
      <c r="D94" s="8">
        <v>50</v>
      </c>
      <c r="E94" s="8">
        <v>100</v>
      </c>
      <c r="F94" s="10">
        <f>+IFERROR(VLOOKUP(A94,[1]Sheet5!$A$3:$D$1335,4,0),0)</f>
        <v>221.45</v>
      </c>
      <c r="G94" s="10">
        <f t="shared" si="1"/>
        <v>22.145</v>
      </c>
    </row>
    <row r="95" spans="1:7" x14ac:dyDescent="0.3">
      <c r="A95" s="6" t="s">
        <v>204</v>
      </c>
      <c r="B95" s="7" t="s">
        <v>205</v>
      </c>
      <c r="C95" s="7" t="s">
        <v>106</v>
      </c>
      <c r="D95" s="8">
        <v>80</v>
      </c>
      <c r="E95" s="8">
        <v>553</v>
      </c>
      <c r="F95" s="10">
        <f>+IFERROR(VLOOKUP(A95,[1]Sheet5!$A$3:$D$1335,4,0),0)</f>
        <v>70.8</v>
      </c>
      <c r="G95" s="10">
        <f t="shared" si="1"/>
        <v>39.1524</v>
      </c>
    </row>
    <row r="96" spans="1:7" x14ac:dyDescent="0.3">
      <c r="A96" s="6" t="s">
        <v>206</v>
      </c>
      <c r="B96" s="7" t="s">
        <v>207</v>
      </c>
      <c r="C96" s="7" t="s">
        <v>106</v>
      </c>
      <c r="D96" s="8">
        <v>60</v>
      </c>
      <c r="E96" s="8">
        <v>341</v>
      </c>
      <c r="F96" s="10">
        <f>+IFERROR(VLOOKUP(A96,[1]Sheet5!$A$3:$D$1335,4,0),0)</f>
        <v>128</v>
      </c>
      <c r="G96" s="10">
        <f t="shared" si="1"/>
        <v>43.648000000000003</v>
      </c>
    </row>
    <row r="97" spans="1:7" x14ac:dyDescent="0.3">
      <c r="A97" s="6" t="s">
        <v>208</v>
      </c>
      <c r="B97" s="7" t="s">
        <v>209</v>
      </c>
      <c r="C97" s="7" t="s">
        <v>106</v>
      </c>
      <c r="D97" s="8">
        <v>60</v>
      </c>
      <c r="E97" s="8">
        <v>53</v>
      </c>
      <c r="F97" s="10">
        <f>+IFERROR(VLOOKUP(A97,[1]Sheet5!$A$3:$D$1335,4,0),0)</f>
        <v>129.5</v>
      </c>
      <c r="G97" s="10">
        <f t="shared" si="1"/>
        <v>6.8635000000000002</v>
      </c>
    </row>
    <row r="98" spans="1:7" x14ac:dyDescent="0.3">
      <c r="A98" s="6" t="s">
        <v>210</v>
      </c>
      <c r="B98" s="7" t="s">
        <v>211</v>
      </c>
      <c r="C98" s="7" t="s">
        <v>106</v>
      </c>
      <c r="D98" s="8">
        <v>30</v>
      </c>
      <c r="E98" s="8">
        <v>20</v>
      </c>
      <c r="F98" s="10">
        <f>+IFERROR(VLOOKUP(A98,[1]Sheet5!$A$3:$D$1335,4,0),0)</f>
        <v>186.5</v>
      </c>
      <c r="G98" s="10">
        <f t="shared" si="1"/>
        <v>3.73</v>
      </c>
    </row>
    <row r="99" spans="1:7" x14ac:dyDescent="0.3">
      <c r="A99" s="6" t="s">
        <v>212</v>
      </c>
      <c r="B99" s="7" t="s">
        <v>213</v>
      </c>
      <c r="C99" s="7" t="s">
        <v>106</v>
      </c>
      <c r="D99" s="8">
        <v>50</v>
      </c>
      <c r="E99" s="8">
        <v>50</v>
      </c>
      <c r="F99" s="10">
        <f>+IFERROR(VLOOKUP(A99,[1]Sheet5!$A$3:$D$1335,4,0),0)</f>
        <v>226.85</v>
      </c>
      <c r="G99" s="10">
        <f t="shared" si="1"/>
        <v>11.342499999999999</v>
      </c>
    </row>
    <row r="100" spans="1:7" x14ac:dyDescent="0.3">
      <c r="A100" s="9" t="s">
        <v>360</v>
      </c>
      <c r="B100" s="10" t="s">
        <v>361</v>
      </c>
      <c r="C100" s="7" t="s">
        <v>106</v>
      </c>
      <c r="D100" s="8">
        <v>100</v>
      </c>
      <c r="E100" s="8">
        <v>200</v>
      </c>
      <c r="F100" s="10">
        <f>+IFERROR(VLOOKUP(A100,[1]Sheet5!$A$3:$D$1335,4,0),0)</f>
        <v>147.05000000000001</v>
      </c>
      <c r="G100" s="10">
        <f t="shared" si="1"/>
        <v>29.410000000000004</v>
      </c>
    </row>
    <row r="101" spans="1:7" x14ac:dyDescent="0.3">
      <c r="A101" s="20" t="s">
        <v>411</v>
      </c>
      <c r="B101" s="20"/>
      <c r="C101" s="20"/>
      <c r="D101" s="15"/>
      <c r="E101" s="15"/>
      <c r="F101" s="15"/>
      <c r="G101" s="15">
        <f>SUM(G45:G100)</f>
        <v>7657.2735600000005</v>
      </c>
    </row>
    <row r="102" spans="1:7" x14ac:dyDescent="0.3">
      <c r="A102" s="6" t="s">
        <v>262</v>
      </c>
      <c r="B102" s="7" t="s">
        <v>263</v>
      </c>
      <c r="C102" s="7" t="s">
        <v>261</v>
      </c>
      <c r="D102" s="8">
        <v>4</v>
      </c>
      <c r="E102" s="8">
        <v>8</v>
      </c>
      <c r="F102" s="10">
        <f>+IFERROR(VLOOKUP(A102,[1]Sheet5!$A$3:$D$1335,4,0),0)</f>
        <v>1513</v>
      </c>
      <c r="G102" s="10">
        <f t="shared" si="1"/>
        <v>12.103999999999999</v>
      </c>
    </row>
    <row r="103" spans="1:7" x14ac:dyDescent="0.3">
      <c r="A103" s="6" t="s">
        <v>264</v>
      </c>
      <c r="B103" s="7" t="s">
        <v>265</v>
      </c>
      <c r="C103" s="7" t="s">
        <v>261</v>
      </c>
      <c r="D103" s="8">
        <v>90</v>
      </c>
      <c r="E103" s="8">
        <v>183</v>
      </c>
      <c r="F103" s="10">
        <f>+IFERROR(VLOOKUP(A103,[1]Sheet5!$A$3:$D$1335,4,0),0)</f>
        <v>141</v>
      </c>
      <c r="G103" s="10">
        <f t="shared" si="1"/>
        <v>25.803000000000001</v>
      </c>
    </row>
    <row r="104" spans="1:7" x14ac:dyDescent="0.3">
      <c r="A104" s="6">
        <v>5102</v>
      </c>
      <c r="B104" s="7" t="s">
        <v>267</v>
      </c>
      <c r="C104" s="7" t="s">
        <v>261</v>
      </c>
      <c r="D104" s="8">
        <v>1000</v>
      </c>
      <c r="E104" s="8">
        <v>300</v>
      </c>
      <c r="F104" s="10">
        <f>+IFERROR(VLOOKUP(A104,[1]Sheet5!$A$3:$D$1335,4,0),0)</f>
        <v>6</v>
      </c>
      <c r="G104" s="10">
        <f t="shared" si="1"/>
        <v>1.8</v>
      </c>
    </row>
    <row r="105" spans="1:7" x14ac:dyDescent="0.3">
      <c r="A105" s="6">
        <v>5104</v>
      </c>
      <c r="B105" s="7" t="s">
        <v>268</v>
      </c>
      <c r="C105" s="7" t="s">
        <v>261</v>
      </c>
      <c r="D105" s="8">
        <v>1000</v>
      </c>
      <c r="E105" s="8">
        <v>200</v>
      </c>
      <c r="F105" s="10">
        <f>+IFERROR(VLOOKUP(A105,[1]Sheet5!$A$3:$D$1335,4,0),0)</f>
        <v>13</v>
      </c>
      <c r="G105" s="10">
        <f t="shared" si="1"/>
        <v>2.6</v>
      </c>
    </row>
    <row r="106" spans="1:7" x14ac:dyDescent="0.3">
      <c r="A106" s="6">
        <v>5110</v>
      </c>
      <c r="B106" s="7" t="s">
        <v>269</v>
      </c>
      <c r="C106" s="7" t="s">
        <v>261</v>
      </c>
      <c r="D106" s="8">
        <v>25</v>
      </c>
      <c r="E106" s="8">
        <v>6602</v>
      </c>
      <c r="F106" s="10">
        <f>+IFERROR(VLOOKUP(A106,[1]Sheet5!$A$3:$D$1335,4,0),0)</f>
        <v>322</v>
      </c>
      <c r="G106" s="10">
        <f t="shared" si="1"/>
        <v>2125.8440000000001</v>
      </c>
    </row>
    <row r="107" spans="1:7" x14ac:dyDescent="0.3">
      <c r="A107" s="6">
        <v>5111</v>
      </c>
      <c r="B107" s="7" t="s">
        <v>270</v>
      </c>
      <c r="C107" s="7" t="s">
        <v>261</v>
      </c>
      <c r="D107" s="8">
        <v>20</v>
      </c>
      <c r="E107" s="8">
        <v>5895</v>
      </c>
      <c r="F107" s="10">
        <f>+IFERROR(VLOOKUP(A107,[1]Sheet5!$A$3:$D$1335,4,0),0)</f>
        <v>420.6</v>
      </c>
      <c r="G107" s="10">
        <f t="shared" si="1"/>
        <v>2479.4369999999999</v>
      </c>
    </row>
    <row r="108" spans="1:7" x14ac:dyDescent="0.3">
      <c r="A108" s="6">
        <v>5112</v>
      </c>
      <c r="B108" s="7" t="s">
        <v>271</v>
      </c>
      <c r="C108" s="7" t="s">
        <v>261</v>
      </c>
      <c r="D108" s="8">
        <v>18</v>
      </c>
      <c r="E108" s="8">
        <v>1224</v>
      </c>
      <c r="F108" s="10">
        <f>+IFERROR(VLOOKUP(A108,[1]Sheet5!$A$3:$D$1335,4,0),0)</f>
        <v>408.5</v>
      </c>
      <c r="G108" s="10">
        <f t="shared" si="1"/>
        <v>500.00400000000002</v>
      </c>
    </row>
    <row r="109" spans="1:7" x14ac:dyDescent="0.3">
      <c r="A109" s="9">
        <v>5115</v>
      </c>
      <c r="B109" s="10" t="s">
        <v>272</v>
      </c>
      <c r="C109" s="7" t="s">
        <v>261</v>
      </c>
      <c r="D109" s="8">
        <v>15</v>
      </c>
      <c r="E109" s="8">
        <v>25</v>
      </c>
      <c r="F109" s="10">
        <f>+IFERROR(VLOOKUP(A109,[1]Sheet5!$A$3:$D$1335,4,0),0)</f>
        <v>401.8</v>
      </c>
      <c r="G109" s="10">
        <f t="shared" si="1"/>
        <v>10.045</v>
      </c>
    </row>
    <row r="110" spans="1:7" x14ac:dyDescent="0.3">
      <c r="A110" s="6">
        <v>5121</v>
      </c>
      <c r="B110" s="7" t="s">
        <v>273</v>
      </c>
      <c r="C110" s="7" t="s">
        <v>261</v>
      </c>
      <c r="D110" s="8">
        <v>36</v>
      </c>
      <c r="E110" s="8">
        <v>56</v>
      </c>
      <c r="F110" s="10">
        <f>+IFERROR(VLOOKUP(A110,[1]Sheet5!$A$3:$D$1335,4,0),0)</f>
        <v>281</v>
      </c>
      <c r="G110" s="10">
        <f t="shared" si="1"/>
        <v>15.736000000000001</v>
      </c>
    </row>
    <row r="111" spans="1:7" x14ac:dyDescent="0.3">
      <c r="A111" s="6">
        <v>5133</v>
      </c>
      <c r="B111" s="7" t="s">
        <v>274</v>
      </c>
      <c r="C111" s="7" t="s">
        <v>261</v>
      </c>
      <c r="D111" s="8">
        <v>15</v>
      </c>
      <c r="E111" s="8">
        <v>568</v>
      </c>
      <c r="F111" s="10">
        <f>+IFERROR(VLOOKUP(A111,[1]Sheet5!$A$3:$D$1335,4,0),0)</f>
        <v>532</v>
      </c>
      <c r="G111" s="10">
        <f t="shared" si="1"/>
        <v>302.17599999999999</v>
      </c>
    </row>
    <row r="112" spans="1:7" x14ac:dyDescent="0.3">
      <c r="A112" s="6">
        <v>5141</v>
      </c>
      <c r="B112" s="7" t="s">
        <v>275</v>
      </c>
      <c r="C112" s="7" t="s">
        <v>261</v>
      </c>
      <c r="D112" s="8">
        <v>10</v>
      </c>
      <c r="E112" s="8">
        <v>1416</v>
      </c>
      <c r="F112" s="10">
        <f>+IFERROR(VLOOKUP(A112,[1]Sheet5!$A$3:$D$1335,4,0),0)</f>
        <v>669</v>
      </c>
      <c r="G112" s="10">
        <f t="shared" si="1"/>
        <v>947.30399999999997</v>
      </c>
    </row>
    <row r="113" spans="1:7" x14ac:dyDescent="0.3">
      <c r="A113" s="6">
        <v>5143</v>
      </c>
      <c r="B113" s="7" t="s">
        <v>276</v>
      </c>
      <c r="C113" s="7" t="s">
        <v>261</v>
      </c>
      <c r="D113" s="8">
        <v>10</v>
      </c>
      <c r="E113" s="8">
        <v>20</v>
      </c>
      <c r="F113" s="10">
        <f>+IFERROR(VLOOKUP(A113,[1]Sheet5!$A$3:$D$1335,4,0),0)</f>
        <v>0</v>
      </c>
      <c r="G113" s="10">
        <f t="shared" si="1"/>
        <v>0</v>
      </c>
    </row>
    <row r="114" spans="1:7" x14ac:dyDescent="0.3">
      <c r="A114" s="6">
        <v>5157</v>
      </c>
      <c r="B114" s="7" t="s">
        <v>277</v>
      </c>
      <c r="C114" s="7" t="s">
        <v>261</v>
      </c>
      <c r="D114" s="8">
        <v>60</v>
      </c>
      <c r="E114" s="8">
        <v>783</v>
      </c>
      <c r="F114" s="10">
        <f>+IFERROR(VLOOKUP(A114,[1]Sheet5!$A$3:$D$1335,4,0),0)</f>
        <v>225.3</v>
      </c>
      <c r="G114" s="10">
        <f t="shared" si="1"/>
        <v>176.40990000000002</v>
      </c>
    </row>
    <row r="115" spans="1:7" x14ac:dyDescent="0.3">
      <c r="A115" s="6">
        <v>5161</v>
      </c>
      <c r="B115" s="7" t="s">
        <v>278</v>
      </c>
      <c r="C115" s="7" t="s">
        <v>261</v>
      </c>
      <c r="D115" s="8">
        <v>108</v>
      </c>
      <c r="E115" s="8">
        <v>484</v>
      </c>
      <c r="F115" s="10">
        <f>+IFERROR(VLOOKUP(A115,[1]Sheet5!$A$3:$D$1335,4,0),0)</f>
        <v>76.099999999999994</v>
      </c>
      <c r="G115" s="10">
        <f t="shared" si="1"/>
        <v>36.832399999999993</v>
      </c>
    </row>
    <row r="116" spans="1:7" x14ac:dyDescent="0.3">
      <c r="A116" s="6">
        <v>5162</v>
      </c>
      <c r="B116" s="7" t="s">
        <v>279</v>
      </c>
      <c r="C116" s="7" t="s">
        <v>261</v>
      </c>
      <c r="D116" s="8">
        <v>150</v>
      </c>
      <c r="E116" s="8">
        <v>7380</v>
      </c>
      <c r="F116" s="10">
        <f>+IFERROR(VLOOKUP(A116,[1]Sheet5!$A$3:$D$1335,4,0),0)</f>
        <v>55</v>
      </c>
      <c r="G116" s="10">
        <f t="shared" si="1"/>
        <v>405.9</v>
      </c>
    </row>
    <row r="117" spans="1:7" x14ac:dyDescent="0.3">
      <c r="A117" s="6">
        <v>5163</v>
      </c>
      <c r="B117" s="7" t="s">
        <v>280</v>
      </c>
      <c r="C117" s="7" t="s">
        <v>261</v>
      </c>
      <c r="D117" s="8">
        <v>24</v>
      </c>
      <c r="E117" s="8">
        <v>236</v>
      </c>
      <c r="F117" s="10">
        <f>+IFERROR(VLOOKUP(A117,[1]Sheet5!$A$3:$D$1335,4,0),0)</f>
        <v>423</v>
      </c>
      <c r="G117" s="10">
        <f t="shared" si="1"/>
        <v>99.828000000000003</v>
      </c>
    </row>
    <row r="118" spans="1:7" x14ac:dyDescent="0.3">
      <c r="A118" s="6">
        <v>5164</v>
      </c>
      <c r="B118" s="7" t="s">
        <v>281</v>
      </c>
      <c r="C118" s="7" t="s">
        <v>261</v>
      </c>
      <c r="D118" s="8">
        <v>150</v>
      </c>
      <c r="E118" s="8">
        <v>600</v>
      </c>
      <c r="F118" s="10">
        <f>+IFERROR(VLOOKUP(A118,[1]Sheet5!$A$3:$D$1335,4,0),0)</f>
        <v>82.3</v>
      </c>
      <c r="G118" s="10">
        <f t="shared" si="1"/>
        <v>49.38</v>
      </c>
    </row>
    <row r="119" spans="1:7" x14ac:dyDescent="0.3">
      <c r="A119" s="6">
        <v>5171</v>
      </c>
      <c r="B119" s="7" t="s">
        <v>282</v>
      </c>
      <c r="C119" s="7" t="s">
        <v>261</v>
      </c>
      <c r="D119" s="8">
        <v>10</v>
      </c>
      <c r="E119" s="8">
        <v>98</v>
      </c>
      <c r="F119" s="10">
        <f>+IFERROR(VLOOKUP(A119,[1]Sheet5!$A$3:$D$1335,4,0),0)</f>
        <v>802</v>
      </c>
      <c r="G119" s="10">
        <f t="shared" si="1"/>
        <v>78.596000000000004</v>
      </c>
    </row>
    <row r="120" spans="1:7" x14ac:dyDescent="0.3">
      <c r="A120" s="6">
        <v>5173</v>
      </c>
      <c r="B120" s="7" t="s">
        <v>283</v>
      </c>
      <c r="C120" s="7" t="s">
        <v>261</v>
      </c>
      <c r="D120" s="8">
        <v>10</v>
      </c>
      <c r="E120" s="8">
        <v>58</v>
      </c>
      <c r="F120" s="10">
        <f>+IFERROR(VLOOKUP(A120,[1]Sheet5!$A$3:$D$1335,4,0),0)</f>
        <v>960</v>
      </c>
      <c r="G120" s="10">
        <f t="shared" si="1"/>
        <v>55.68</v>
      </c>
    </row>
    <row r="121" spans="1:7" x14ac:dyDescent="0.3">
      <c r="A121" s="6">
        <v>5710</v>
      </c>
      <c r="B121" s="7" t="s">
        <v>284</v>
      </c>
      <c r="C121" s="7" t="s">
        <v>261</v>
      </c>
      <c r="D121" s="8">
        <v>75</v>
      </c>
      <c r="E121" s="8">
        <v>80</v>
      </c>
      <c r="F121" s="10">
        <f>+IFERROR(VLOOKUP(A121,[1]Sheet5!$A$3:$D$1335,4,0),0)</f>
        <v>165</v>
      </c>
      <c r="G121" s="10">
        <f t="shared" si="1"/>
        <v>13.2</v>
      </c>
    </row>
    <row r="122" spans="1:7" x14ac:dyDescent="0.3">
      <c r="A122" s="6">
        <v>5741</v>
      </c>
      <c r="B122" s="7" t="s">
        <v>285</v>
      </c>
      <c r="C122" s="7" t="s">
        <v>261</v>
      </c>
      <c r="D122" s="8">
        <v>32</v>
      </c>
      <c r="E122" s="8">
        <v>431</v>
      </c>
      <c r="F122" s="10">
        <f>+IFERROR(VLOOKUP(A122,[1]Sheet5!$A$3:$D$1335,4,0),0)</f>
        <v>319</v>
      </c>
      <c r="G122" s="10">
        <f t="shared" si="1"/>
        <v>137.489</v>
      </c>
    </row>
    <row r="123" spans="1:7" x14ac:dyDescent="0.3">
      <c r="A123" s="6">
        <v>5761</v>
      </c>
      <c r="B123" s="7" t="s">
        <v>286</v>
      </c>
      <c r="C123" s="7" t="s">
        <v>261</v>
      </c>
      <c r="D123" s="8">
        <v>266</v>
      </c>
      <c r="E123" s="8">
        <v>3917</v>
      </c>
      <c r="F123" s="10">
        <f>+IFERROR(VLOOKUP(A123,[1]Sheet5!$A$3:$D$1335,4,0),0)</f>
        <v>38.6</v>
      </c>
      <c r="G123" s="10">
        <f t="shared" si="1"/>
        <v>151.1962</v>
      </c>
    </row>
    <row r="124" spans="1:7" x14ac:dyDescent="0.3">
      <c r="A124" s="6">
        <v>5762</v>
      </c>
      <c r="B124" s="7" t="s">
        <v>287</v>
      </c>
      <c r="C124" s="7" t="s">
        <v>261</v>
      </c>
      <c r="D124" s="8">
        <v>200</v>
      </c>
      <c r="E124" s="8">
        <v>12667</v>
      </c>
      <c r="F124" s="10">
        <f>+IFERROR(VLOOKUP(A124,[1]Sheet5!$A$3:$D$1335,4,0),0)</f>
        <v>42.3</v>
      </c>
      <c r="G124" s="10">
        <f t="shared" si="1"/>
        <v>535.81409999999994</v>
      </c>
    </row>
    <row r="125" spans="1:7" x14ac:dyDescent="0.3">
      <c r="A125" s="6">
        <v>5763</v>
      </c>
      <c r="B125" s="7" t="s">
        <v>288</v>
      </c>
      <c r="C125" s="7" t="s">
        <v>261</v>
      </c>
      <c r="D125" s="8">
        <v>36</v>
      </c>
      <c r="E125" s="8">
        <v>1044</v>
      </c>
      <c r="F125" s="10">
        <f>+IFERROR(VLOOKUP(A125,[1]Sheet5!$A$3:$D$1335,4,0),0)</f>
        <v>344</v>
      </c>
      <c r="G125" s="10">
        <f t="shared" si="1"/>
        <v>359.13600000000002</v>
      </c>
    </row>
    <row r="126" spans="1:7" x14ac:dyDescent="0.3">
      <c r="A126" s="6">
        <v>5771</v>
      </c>
      <c r="B126" s="7" t="s">
        <v>289</v>
      </c>
      <c r="C126" s="7" t="s">
        <v>261</v>
      </c>
      <c r="D126" s="8">
        <v>10</v>
      </c>
      <c r="E126" s="8">
        <v>710</v>
      </c>
      <c r="F126" s="10">
        <f>+IFERROR(VLOOKUP(A126,[1]Sheet5!$A$3:$D$1335,4,0),0)</f>
        <v>896</v>
      </c>
      <c r="G126" s="10">
        <f t="shared" si="1"/>
        <v>636.16</v>
      </c>
    </row>
    <row r="127" spans="1:7" x14ac:dyDescent="0.3">
      <c r="A127" s="6">
        <v>5773</v>
      </c>
      <c r="B127" s="7" t="s">
        <v>290</v>
      </c>
      <c r="C127" s="7" t="s">
        <v>261</v>
      </c>
      <c r="D127" s="8">
        <v>8</v>
      </c>
      <c r="E127" s="8">
        <v>51</v>
      </c>
      <c r="F127" s="10">
        <f>+IFERROR(VLOOKUP(A127,[1]Sheet5!$A$3:$D$1335,4,0),0)</f>
        <v>1054</v>
      </c>
      <c r="G127" s="10">
        <f t="shared" si="1"/>
        <v>53.753999999999998</v>
      </c>
    </row>
    <row r="128" spans="1:7" x14ac:dyDescent="0.3">
      <c r="A128" s="6">
        <v>5933</v>
      </c>
      <c r="B128" s="7" t="s">
        <v>266</v>
      </c>
      <c r="C128" s="7" t="s">
        <v>261</v>
      </c>
      <c r="D128" s="8">
        <v>20</v>
      </c>
      <c r="E128" s="8">
        <v>40</v>
      </c>
      <c r="F128" s="10">
        <f>+IFERROR(VLOOKUP(A128,[1]Sheet5!$A$3:$D$1335,4,0),0)</f>
        <v>368</v>
      </c>
      <c r="G128" s="10">
        <f t="shared" si="1"/>
        <v>14.72</v>
      </c>
    </row>
    <row r="129" spans="1:7" x14ac:dyDescent="0.3">
      <c r="A129" s="6" t="s">
        <v>291</v>
      </c>
      <c r="B129" s="7" t="s">
        <v>292</v>
      </c>
      <c r="C129" s="7" t="s">
        <v>261</v>
      </c>
      <c r="D129" s="8">
        <v>28</v>
      </c>
      <c r="E129" s="8">
        <v>252</v>
      </c>
      <c r="F129" s="10">
        <f>+IFERROR(VLOOKUP(A129,[1]Sheet5!$A$3:$D$1335,4,0),0)</f>
        <v>404</v>
      </c>
      <c r="G129" s="10">
        <f t="shared" si="1"/>
        <v>101.80800000000001</v>
      </c>
    </row>
    <row r="130" spans="1:7" x14ac:dyDescent="0.3">
      <c r="A130" s="6">
        <v>5963</v>
      </c>
      <c r="B130" s="7" t="s">
        <v>293</v>
      </c>
      <c r="C130" s="7" t="s">
        <v>261</v>
      </c>
      <c r="D130" s="8">
        <v>28</v>
      </c>
      <c r="E130" s="8">
        <v>21</v>
      </c>
      <c r="F130" s="10">
        <f>+IFERROR(VLOOKUP(A130,[1]Sheet5!$A$3:$D$1335,4,0),0)</f>
        <v>404</v>
      </c>
      <c r="G130" s="10">
        <f t="shared" si="1"/>
        <v>8.484</v>
      </c>
    </row>
    <row r="131" spans="1:7" x14ac:dyDescent="0.3">
      <c r="A131" s="9">
        <v>5792</v>
      </c>
      <c r="B131" s="10" t="s">
        <v>373</v>
      </c>
      <c r="C131" s="7" t="s">
        <v>261</v>
      </c>
      <c r="D131" s="8">
        <v>25</v>
      </c>
      <c r="E131" s="8">
        <v>416</v>
      </c>
      <c r="F131" s="10">
        <f>+IFERROR(VLOOKUP(A131,[1]Sheet5!$A$3:$D$1335,4,0),0)</f>
        <v>473</v>
      </c>
      <c r="G131" s="10">
        <f t="shared" ref="G131:G174" si="2">+E131*F131/1000</f>
        <v>196.768</v>
      </c>
    </row>
    <row r="132" spans="1:7" x14ac:dyDescent="0.3">
      <c r="A132" s="9">
        <v>5793</v>
      </c>
      <c r="B132" s="10" t="s">
        <v>393</v>
      </c>
      <c r="C132" s="7" t="s">
        <v>261</v>
      </c>
      <c r="D132" s="8">
        <v>18</v>
      </c>
      <c r="E132" s="8">
        <v>500</v>
      </c>
      <c r="F132" s="10">
        <f>+IFERROR(VLOOKUP(A132,[1]Sheet5!$A$3:$D$1335,4,0),0)</f>
        <v>269.7</v>
      </c>
      <c r="G132" s="10">
        <f t="shared" si="2"/>
        <v>134.85</v>
      </c>
    </row>
    <row r="133" spans="1:7" x14ac:dyDescent="0.3">
      <c r="A133" s="6">
        <v>5106</v>
      </c>
      <c r="B133" s="7" t="s">
        <v>396</v>
      </c>
      <c r="C133" s="7" t="s">
        <v>261</v>
      </c>
      <c r="D133" s="8">
        <v>120</v>
      </c>
      <c r="E133" s="8">
        <v>1134</v>
      </c>
      <c r="F133" s="10">
        <f>+IFERROR(VLOOKUP(A133,[1]Sheet5!$A$3:$D$1335,4,0),0)</f>
        <v>76</v>
      </c>
      <c r="G133" s="10">
        <f t="shared" si="2"/>
        <v>86.183999999999997</v>
      </c>
    </row>
    <row r="134" spans="1:7" x14ac:dyDescent="0.3">
      <c r="A134" s="6">
        <v>5606</v>
      </c>
      <c r="B134" s="7" t="s">
        <v>397</v>
      </c>
      <c r="C134" s="7" t="s">
        <v>261</v>
      </c>
      <c r="D134" s="8">
        <v>32</v>
      </c>
      <c r="E134" s="8">
        <v>841</v>
      </c>
      <c r="F134" s="10">
        <f>+IFERROR(VLOOKUP(A134,[1]Sheet5!$A$3:$D$1335,4,0),0)</f>
        <v>296</v>
      </c>
      <c r="G134" s="10">
        <f t="shared" si="2"/>
        <v>248.93600000000001</v>
      </c>
    </row>
    <row r="135" spans="1:7" x14ac:dyDescent="0.3">
      <c r="A135" s="6">
        <v>4763</v>
      </c>
      <c r="B135" s="9" t="s">
        <v>398</v>
      </c>
      <c r="C135" s="7" t="s">
        <v>261</v>
      </c>
      <c r="D135" s="8">
        <v>40</v>
      </c>
      <c r="E135" s="8">
        <v>19</v>
      </c>
      <c r="F135" s="10">
        <f>+IFERROR(VLOOKUP(A135,[1]Sheet5!$A$3:$D$1335,4,0),0)</f>
        <v>311</v>
      </c>
      <c r="G135" s="10">
        <f t="shared" si="2"/>
        <v>5.9089999999999998</v>
      </c>
    </row>
    <row r="136" spans="1:7" x14ac:dyDescent="0.3">
      <c r="A136" s="6">
        <v>4507</v>
      </c>
      <c r="B136" s="9" t="s">
        <v>399</v>
      </c>
      <c r="C136" s="7" t="s">
        <v>261</v>
      </c>
      <c r="D136" s="8">
        <v>40</v>
      </c>
      <c r="E136" s="8">
        <v>20</v>
      </c>
      <c r="F136" s="10">
        <f>+IFERROR(VLOOKUP(A136,[1]Sheet5!$A$3:$D$1335,4,0),0)</f>
        <v>0</v>
      </c>
      <c r="G136" s="10">
        <f t="shared" si="2"/>
        <v>0</v>
      </c>
    </row>
    <row r="137" spans="1:7" x14ac:dyDescent="0.3">
      <c r="A137" s="20" t="s">
        <v>412</v>
      </c>
      <c r="B137" s="20"/>
      <c r="C137" s="20"/>
      <c r="D137" s="15"/>
      <c r="E137" s="15"/>
      <c r="F137" s="15"/>
      <c r="G137" s="15">
        <f>SUM(G102:G136)</f>
        <v>10009.8876</v>
      </c>
    </row>
    <row r="138" spans="1:7" x14ac:dyDescent="0.3">
      <c r="A138" s="6" t="s">
        <v>302</v>
      </c>
      <c r="B138" s="7" t="s">
        <v>303</v>
      </c>
      <c r="C138" s="7" t="s">
        <v>301</v>
      </c>
      <c r="D138" s="8">
        <v>75</v>
      </c>
      <c r="E138" s="8">
        <v>583</v>
      </c>
      <c r="F138" s="10">
        <f>+IFERROR(VLOOKUP(A138,[1]Sheet5!$A$3:$D$1335,4,0),0)</f>
        <v>155</v>
      </c>
      <c r="G138" s="10">
        <f t="shared" si="2"/>
        <v>90.364999999999995</v>
      </c>
    </row>
    <row r="139" spans="1:7" x14ac:dyDescent="0.3">
      <c r="A139" s="6" t="s">
        <v>304</v>
      </c>
      <c r="B139" s="7" t="s">
        <v>305</v>
      </c>
      <c r="C139" s="7" t="s">
        <v>301</v>
      </c>
      <c r="D139" s="8">
        <v>50</v>
      </c>
      <c r="E139" s="8">
        <v>270</v>
      </c>
      <c r="F139" s="10">
        <f>+IFERROR(VLOOKUP(A139,[1]Sheet5!$A$3:$D$1335,4,0),0)</f>
        <v>242</v>
      </c>
      <c r="G139" s="10">
        <f t="shared" si="2"/>
        <v>65.34</v>
      </c>
    </row>
    <row r="140" spans="1:7" x14ac:dyDescent="0.3">
      <c r="A140" s="6" t="s">
        <v>306</v>
      </c>
      <c r="B140" s="7" t="s">
        <v>307</v>
      </c>
      <c r="C140" s="7" t="s">
        <v>301</v>
      </c>
      <c r="D140" s="8">
        <v>400</v>
      </c>
      <c r="E140" s="8">
        <v>105</v>
      </c>
      <c r="F140" s="10">
        <f>+IFERROR(VLOOKUP(A140,[1]Sheet5!$A$3:$D$1335,4,0),0)</f>
        <v>33.700000000000003</v>
      </c>
      <c r="G140" s="10">
        <f t="shared" si="2"/>
        <v>3.5385000000000004</v>
      </c>
    </row>
    <row r="141" spans="1:7" x14ac:dyDescent="0.3">
      <c r="A141" s="6" t="s">
        <v>308</v>
      </c>
      <c r="B141" s="7" t="s">
        <v>309</v>
      </c>
      <c r="C141" s="7" t="s">
        <v>301</v>
      </c>
      <c r="D141" s="8">
        <v>50</v>
      </c>
      <c r="E141" s="8">
        <v>63</v>
      </c>
      <c r="F141" s="10">
        <f>+IFERROR(VLOOKUP(A141,[1]Sheet5!$A$3:$D$1335,4,0),0)</f>
        <v>295.60000000000002</v>
      </c>
      <c r="G141" s="10">
        <f t="shared" si="2"/>
        <v>18.622800000000002</v>
      </c>
    </row>
    <row r="142" spans="1:7" x14ac:dyDescent="0.3">
      <c r="A142" s="6" t="s">
        <v>310</v>
      </c>
      <c r="B142" s="7" t="s">
        <v>311</v>
      </c>
      <c r="C142" s="7" t="s">
        <v>301</v>
      </c>
      <c r="D142" s="8">
        <v>22</v>
      </c>
      <c r="E142" s="8">
        <v>14</v>
      </c>
      <c r="F142" s="10">
        <f>+IFERROR(VLOOKUP(A142,[1]Sheet5!$A$3:$D$1335,4,0),0)</f>
        <v>543.5</v>
      </c>
      <c r="G142" s="10">
        <f t="shared" si="2"/>
        <v>7.609</v>
      </c>
    </row>
    <row r="143" spans="1:7" x14ac:dyDescent="0.3">
      <c r="A143" s="6" t="s">
        <v>312</v>
      </c>
      <c r="B143" s="7" t="s">
        <v>313</v>
      </c>
      <c r="C143" s="7" t="s">
        <v>301</v>
      </c>
      <c r="D143" s="8">
        <v>5</v>
      </c>
      <c r="E143" s="8">
        <v>3</v>
      </c>
      <c r="F143" s="10">
        <f>+IFERROR(VLOOKUP(A143,[1]Sheet5!$A$3:$D$1335,4,0),0)</f>
        <v>1576</v>
      </c>
      <c r="G143" s="10">
        <f t="shared" si="2"/>
        <v>4.7279999999999998</v>
      </c>
    </row>
    <row r="144" spans="1:7" x14ac:dyDescent="0.3">
      <c r="A144" s="6" t="s">
        <v>314</v>
      </c>
      <c r="B144" s="7" t="s">
        <v>315</v>
      </c>
      <c r="C144" s="7" t="s">
        <v>301</v>
      </c>
      <c r="D144" s="8">
        <v>40</v>
      </c>
      <c r="E144" s="8">
        <v>182</v>
      </c>
      <c r="F144" s="10">
        <f>+IFERROR(VLOOKUP(A144,[1]Sheet5!$A$3:$D$1335,4,0),0)</f>
        <v>200.2</v>
      </c>
      <c r="G144" s="10">
        <f t="shared" si="2"/>
        <v>36.436399999999999</v>
      </c>
    </row>
    <row r="145" spans="1:7" x14ac:dyDescent="0.3">
      <c r="A145" s="6" t="s">
        <v>316</v>
      </c>
      <c r="B145" s="7" t="s">
        <v>317</v>
      </c>
      <c r="C145" s="7" t="s">
        <v>301</v>
      </c>
      <c r="D145" s="8">
        <v>25</v>
      </c>
      <c r="E145" s="8">
        <v>252</v>
      </c>
      <c r="F145" s="10">
        <f>+IFERROR(VLOOKUP(A145,[1]Sheet5!$A$3:$D$1335,4,0),0)</f>
        <v>461</v>
      </c>
      <c r="G145" s="10">
        <f t="shared" si="2"/>
        <v>116.172</v>
      </c>
    </row>
    <row r="146" spans="1:7" x14ac:dyDescent="0.3">
      <c r="A146" s="6" t="s">
        <v>318</v>
      </c>
      <c r="B146" s="7" t="s">
        <v>319</v>
      </c>
      <c r="C146" s="7" t="s">
        <v>301</v>
      </c>
      <c r="D146" s="8">
        <v>120</v>
      </c>
      <c r="E146" s="8">
        <v>930</v>
      </c>
      <c r="F146" s="10">
        <f>+IFERROR(VLOOKUP(A146,[1]Sheet5!$A$3:$D$1335,4,0),0)</f>
        <v>128.5</v>
      </c>
      <c r="G146" s="10">
        <f t="shared" si="2"/>
        <v>119.505</v>
      </c>
    </row>
    <row r="147" spans="1:7" x14ac:dyDescent="0.3">
      <c r="A147" s="6" t="s">
        <v>320</v>
      </c>
      <c r="B147" s="7" t="s">
        <v>321</v>
      </c>
      <c r="C147" s="7" t="s">
        <v>301</v>
      </c>
      <c r="D147" s="8">
        <v>25</v>
      </c>
      <c r="E147" s="8">
        <v>841</v>
      </c>
      <c r="F147" s="10">
        <f>+IFERROR(VLOOKUP(A147,[1]Sheet5!$A$3:$D$1335,4,0),0)</f>
        <v>463</v>
      </c>
      <c r="G147" s="10">
        <f t="shared" si="2"/>
        <v>389.38299999999998</v>
      </c>
    </row>
    <row r="148" spans="1:7" x14ac:dyDescent="0.3">
      <c r="A148" s="6" t="s">
        <v>322</v>
      </c>
      <c r="B148" s="7" t="s">
        <v>323</v>
      </c>
      <c r="C148" s="7" t="s">
        <v>301</v>
      </c>
      <c r="D148" s="8">
        <v>250</v>
      </c>
      <c r="E148" s="8">
        <v>2419</v>
      </c>
      <c r="F148" s="10">
        <f>+IFERROR(VLOOKUP(A148,[1]Sheet5!$A$3:$D$1335,4,0),0)</f>
        <v>61.5</v>
      </c>
      <c r="G148" s="10">
        <f t="shared" si="2"/>
        <v>148.76849999999999</v>
      </c>
    </row>
    <row r="149" spans="1:7" x14ac:dyDescent="0.3">
      <c r="A149" s="6" t="s">
        <v>324</v>
      </c>
      <c r="B149" s="7" t="s">
        <v>325</v>
      </c>
      <c r="C149" s="7" t="s">
        <v>301</v>
      </c>
      <c r="D149" s="8">
        <v>70</v>
      </c>
      <c r="E149" s="8">
        <v>163</v>
      </c>
      <c r="F149" s="10">
        <f>+IFERROR(VLOOKUP(A149,[1]Sheet5!$A$3:$D$1335,4,0),0)</f>
        <v>232.8</v>
      </c>
      <c r="G149" s="10">
        <f t="shared" si="2"/>
        <v>37.946400000000004</v>
      </c>
    </row>
    <row r="150" spans="1:7" x14ac:dyDescent="0.3">
      <c r="A150" s="6" t="s">
        <v>326</v>
      </c>
      <c r="B150" s="7" t="s">
        <v>327</v>
      </c>
      <c r="C150" s="7" t="s">
        <v>301</v>
      </c>
      <c r="D150" s="8">
        <v>24</v>
      </c>
      <c r="E150" s="8">
        <v>435</v>
      </c>
      <c r="F150" s="10">
        <f>+IFERROR(VLOOKUP(A150,[1]Sheet5!$A$3:$D$1335,4,0),0)</f>
        <v>533</v>
      </c>
      <c r="G150" s="10">
        <f t="shared" si="2"/>
        <v>231.85499999999999</v>
      </c>
    </row>
    <row r="151" spans="1:7" x14ac:dyDescent="0.3">
      <c r="A151" s="6" t="s">
        <v>328</v>
      </c>
      <c r="B151" s="7" t="s">
        <v>329</v>
      </c>
      <c r="C151" s="7" t="s">
        <v>301</v>
      </c>
      <c r="D151" s="8">
        <v>400</v>
      </c>
      <c r="E151" s="8">
        <v>1370</v>
      </c>
      <c r="F151" s="10">
        <f>+IFERROR(VLOOKUP(A151,[1]Sheet5!$A$3:$D$1335,4,0),0)</f>
        <v>40</v>
      </c>
      <c r="G151" s="10">
        <f t="shared" si="2"/>
        <v>54.8</v>
      </c>
    </row>
    <row r="152" spans="1:7" x14ac:dyDescent="0.3">
      <c r="A152" s="6" t="s">
        <v>330</v>
      </c>
      <c r="B152" s="7" t="s">
        <v>331</v>
      </c>
      <c r="C152" s="7" t="s">
        <v>301</v>
      </c>
      <c r="D152" s="8">
        <v>75</v>
      </c>
      <c r="E152" s="8">
        <v>409</v>
      </c>
      <c r="F152" s="10">
        <f>+IFERROR(VLOOKUP(A152,[1]Sheet5!$A$3:$D$1335,4,0),0)</f>
        <v>218</v>
      </c>
      <c r="G152" s="10">
        <f t="shared" si="2"/>
        <v>89.162000000000006</v>
      </c>
    </row>
    <row r="153" spans="1:7" x14ac:dyDescent="0.3">
      <c r="A153" s="6" t="s">
        <v>332</v>
      </c>
      <c r="B153" s="7" t="s">
        <v>333</v>
      </c>
      <c r="C153" s="7" t="s">
        <v>301</v>
      </c>
      <c r="D153" s="8">
        <v>18</v>
      </c>
      <c r="E153" s="8">
        <v>191</v>
      </c>
      <c r="F153" s="10">
        <f>+IFERROR(VLOOKUP(A153,[1]Sheet5!$A$3:$D$1335,4,0),0)</f>
        <v>618</v>
      </c>
      <c r="G153" s="10">
        <f t="shared" si="2"/>
        <v>118.038</v>
      </c>
    </row>
    <row r="154" spans="1:7" x14ac:dyDescent="0.3">
      <c r="A154" s="6" t="s">
        <v>334</v>
      </c>
      <c r="B154" s="7" t="s">
        <v>335</v>
      </c>
      <c r="C154" s="7" t="s">
        <v>301</v>
      </c>
      <c r="D154" s="8">
        <v>10</v>
      </c>
      <c r="E154" s="8">
        <v>32</v>
      </c>
      <c r="F154" s="10">
        <f>+IFERROR(VLOOKUP(A154,[1]Sheet5!$A$3:$D$1335,4,0),0)</f>
        <v>972</v>
      </c>
      <c r="G154" s="10">
        <f t="shared" si="2"/>
        <v>31.103999999999999</v>
      </c>
    </row>
    <row r="155" spans="1:7" x14ac:dyDescent="0.3">
      <c r="A155" s="6" t="s">
        <v>336</v>
      </c>
      <c r="B155" s="7" t="s">
        <v>337</v>
      </c>
      <c r="C155" s="7" t="s">
        <v>301</v>
      </c>
      <c r="D155" s="8">
        <v>150</v>
      </c>
      <c r="E155" s="8">
        <v>325</v>
      </c>
      <c r="F155" s="10">
        <f>+IFERROR(VLOOKUP(A155,[1]Sheet5!$A$3:$D$1335,4,0),0)</f>
        <v>1005</v>
      </c>
      <c r="G155" s="10">
        <f t="shared" si="2"/>
        <v>326.625</v>
      </c>
    </row>
    <row r="156" spans="1:7" x14ac:dyDescent="0.3">
      <c r="A156" s="6" t="s">
        <v>338</v>
      </c>
      <c r="B156" s="7" t="s">
        <v>339</v>
      </c>
      <c r="C156" s="7" t="s">
        <v>301</v>
      </c>
      <c r="D156" s="8">
        <v>100</v>
      </c>
      <c r="E156" s="8">
        <v>1123</v>
      </c>
      <c r="F156" s="10">
        <f>+IFERROR(VLOOKUP(A156,[1]Sheet5!$A$3:$D$1335,4,0),0)</f>
        <v>166.5</v>
      </c>
      <c r="G156" s="10">
        <f t="shared" si="2"/>
        <v>186.9795</v>
      </c>
    </row>
    <row r="157" spans="1:7" x14ac:dyDescent="0.3">
      <c r="A157" s="6" t="s">
        <v>340</v>
      </c>
      <c r="B157" s="7" t="s">
        <v>341</v>
      </c>
      <c r="C157" s="7" t="s">
        <v>301</v>
      </c>
      <c r="D157" s="8">
        <v>75</v>
      </c>
      <c r="E157" s="8">
        <v>34</v>
      </c>
      <c r="F157" s="10">
        <f>+IFERROR(VLOOKUP(A157,[1]Sheet5!$A$3:$D$1335,4,0),0)</f>
        <v>256.8</v>
      </c>
      <c r="G157" s="10">
        <f t="shared" si="2"/>
        <v>8.7312000000000012</v>
      </c>
    </row>
    <row r="158" spans="1:7" x14ac:dyDescent="0.3">
      <c r="A158" s="6" t="s">
        <v>342</v>
      </c>
      <c r="B158" s="7" t="s">
        <v>343</v>
      </c>
      <c r="C158" s="7" t="s">
        <v>301</v>
      </c>
      <c r="D158" s="8">
        <v>21</v>
      </c>
      <c r="E158" s="8">
        <v>6</v>
      </c>
      <c r="F158" s="10">
        <f>+IFERROR(VLOOKUP(A158,[1]Sheet5!$A$3:$D$1335,4,0),0)</f>
        <v>625</v>
      </c>
      <c r="G158" s="10">
        <f t="shared" si="2"/>
        <v>3.75</v>
      </c>
    </row>
    <row r="159" spans="1:7" x14ac:dyDescent="0.3">
      <c r="A159" s="9" t="s">
        <v>356</v>
      </c>
      <c r="B159" s="10" t="s">
        <v>357</v>
      </c>
      <c r="C159" s="7" t="s">
        <v>301</v>
      </c>
      <c r="D159" s="8">
        <v>75</v>
      </c>
      <c r="E159" s="8">
        <v>372</v>
      </c>
      <c r="F159" s="10">
        <f>+IFERROR(VLOOKUP(A159,[1]Sheet5!$A$3:$D$1335,4,0),0)</f>
        <v>120</v>
      </c>
      <c r="G159" s="10">
        <f t="shared" si="2"/>
        <v>44.64</v>
      </c>
    </row>
    <row r="160" spans="1:7" x14ac:dyDescent="0.3">
      <c r="A160" s="10" t="s">
        <v>358</v>
      </c>
      <c r="B160" s="10" t="s">
        <v>359</v>
      </c>
      <c r="C160" s="7" t="s">
        <v>301</v>
      </c>
      <c r="D160" s="8">
        <v>150</v>
      </c>
      <c r="E160" s="8">
        <v>1919</v>
      </c>
      <c r="F160" s="10">
        <f>+IFERROR(VLOOKUP(A160,[1]Sheet5!$A$3:$D$1335,4,0),0)</f>
        <v>70</v>
      </c>
      <c r="G160" s="10">
        <f t="shared" si="2"/>
        <v>134.33000000000001</v>
      </c>
    </row>
    <row r="161" spans="1:7" x14ac:dyDescent="0.3">
      <c r="A161" s="9" t="s">
        <v>362</v>
      </c>
      <c r="B161" s="10" t="s">
        <v>363</v>
      </c>
      <c r="C161" s="7" t="s">
        <v>301</v>
      </c>
      <c r="D161" s="8">
        <v>50</v>
      </c>
      <c r="E161" s="8">
        <v>51</v>
      </c>
      <c r="F161" s="10">
        <f>+IFERROR(VLOOKUP(A161,[1]Sheet5!$A$3:$D$1335,4,0),0)</f>
        <v>130</v>
      </c>
      <c r="G161" s="10">
        <f t="shared" si="2"/>
        <v>6.63</v>
      </c>
    </row>
    <row r="162" spans="1:7" x14ac:dyDescent="0.3">
      <c r="A162" s="9" t="s">
        <v>364</v>
      </c>
      <c r="B162" s="10" t="s">
        <v>365</v>
      </c>
      <c r="C162" s="7" t="s">
        <v>301</v>
      </c>
      <c r="D162" s="8">
        <v>100</v>
      </c>
      <c r="E162" s="8">
        <v>38</v>
      </c>
      <c r="F162" s="10">
        <f>+IFERROR(VLOOKUP(A162,[1]Sheet5!$A$3:$D$1335,4,0),0)</f>
        <v>74</v>
      </c>
      <c r="G162" s="10">
        <f t="shared" si="2"/>
        <v>2.8119999999999998</v>
      </c>
    </row>
    <row r="163" spans="1:7" x14ac:dyDescent="0.3">
      <c r="A163" s="9" t="s">
        <v>371</v>
      </c>
      <c r="B163" s="11" t="s">
        <v>372</v>
      </c>
      <c r="C163" s="7" t="s">
        <v>301</v>
      </c>
      <c r="D163" s="8">
        <v>50</v>
      </c>
      <c r="E163" s="8">
        <v>66</v>
      </c>
      <c r="F163" s="10">
        <f>+IFERROR(VLOOKUP(A163,[1]Sheet5!$A$3:$D$1335,4,0),0)</f>
        <v>130</v>
      </c>
      <c r="G163" s="10">
        <f t="shared" si="2"/>
        <v>8.58</v>
      </c>
    </row>
    <row r="164" spans="1:7" x14ac:dyDescent="0.3">
      <c r="A164" s="9" t="s">
        <v>380</v>
      </c>
      <c r="B164" s="10" t="s">
        <v>381</v>
      </c>
      <c r="C164" s="7" t="s">
        <v>301</v>
      </c>
      <c r="D164" s="8">
        <v>120</v>
      </c>
      <c r="E164" s="8">
        <v>60</v>
      </c>
      <c r="F164" s="10">
        <f>+IFERROR(VLOOKUP(A164,[1]Sheet5!$A$3:$D$1335,4,0),0)</f>
        <v>128.5</v>
      </c>
      <c r="G164" s="10">
        <f t="shared" si="2"/>
        <v>7.71</v>
      </c>
    </row>
    <row r="165" spans="1:7" x14ac:dyDescent="0.3">
      <c r="A165" s="12" t="s">
        <v>382</v>
      </c>
      <c r="B165" s="11" t="s">
        <v>383</v>
      </c>
      <c r="C165" s="7" t="s">
        <v>301</v>
      </c>
      <c r="D165" s="8">
        <v>32</v>
      </c>
      <c r="E165" s="8">
        <v>256</v>
      </c>
      <c r="F165" s="10">
        <f>+IFERROR(VLOOKUP(A165,[1]Sheet5!$A$3:$D$1335,4,0),0)</f>
        <v>397</v>
      </c>
      <c r="G165" s="10">
        <f t="shared" si="2"/>
        <v>101.63200000000001</v>
      </c>
    </row>
    <row r="166" spans="1:7" x14ac:dyDescent="0.3">
      <c r="A166" s="9" t="s">
        <v>387</v>
      </c>
      <c r="B166" s="9" t="s">
        <v>303</v>
      </c>
      <c r="C166" s="7" t="s">
        <v>301</v>
      </c>
      <c r="D166" s="8">
        <v>75</v>
      </c>
      <c r="E166" s="8">
        <v>10</v>
      </c>
      <c r="F166" s="10">
        <f>+IFERROR(VLOOKUP(A166,[1]Sheet5!$A$3:$D$1335,4,0),0)</f>
        <v>190</v>
      </c>
      <c r="G166" s="10">
        <f t="shared" si="2"/>
        <v>1.9</v>
      </c>
    </row>
    <row r="167" spans="1:7" x14ac:dyDescent="0.3">
      <c r="A167" s="6" t="s">
        <v>400</v>
      </c>
      <c r="B167" s="9" t="s">
        <v>401</v>
      </c>
      <c r="C167" s="7" t="s">
        <v>301</v>
      </c>
      <c r="D167" s="8">
        <v>150</v>
      </c>
      <c r="E167" s="8">
        <v>21</v>
      </c>
      <c r="F167" s="10">
        <f>+IFERROR(VLOOKUP(A167,[1]Sheet5!$A$3:$D$1335,4,0),0)</f>
        <v>46</v>
      </c>
      <c r="G167" s="10">
        <f t="shared" si="2"/>
        <v>0.96599999999999997</v>
      </c>
    </row>
    <row r="168" spans="1:7" x14ac:dyDescent="0.3">
      <c r="A168" s="6" t="s">
        <v>402</v>
      </c>
      <c r="B168" s="9" t="s">
        <v>403</v>
      </c>
      <c r="C168" s="7" t="s">
        <v>301</v>
      </c>
      <c r="D168" s="8">
        <v>0</v>
      </c>
      <c r="E168" s="8">
        <v>190</v>
      </c>
      <c r="F168" s="10">
        <f>+IFERROR(VLOOKUP(A168,[1]Sheet5!$A$3:$D$1335,4,0),0)</f>
        <v>0</v>
      </c>
      <c r="G168" s="10">
        <f t="shared" si="2"/>
        <v>0</v>
      </c>
    </row>
    <row r="169" spans="1:7" x14ac:dyDescent="0.3">
      <c r="A169" s="20" t="s">
        <v>413</v>
      </c>
      <c r="B169" s="20"/>
      <c r="C169" s="20"/>
      <c r="D169" s="15"/>
      <c r="E169" s="15"/>
      <c r="F169" s="15"/>
      <c r="G169" s="15">
        <f>SUM(G138:G168)</f>
        <v>2398.6592999999998</v>
      </c>
    </row>
    <row r="170" spans="1:7" x14ac:dyDescent="0.3">
      <c r="A170" s="6" t="s">
        <v>93</v>
      </c>
      <c r="B170" s="7" t="s">
        <v>94</v>
      </c>
      <c r="C170" s="7" t="s">
        <v>92</v>
      </c>
      <c r="D170" s="8">
        <v>240</v>
      </c>
      <c r="E170" s="8">
        <v>792</v>
      </c>
      <c r="F170" s="10">
        <f>+IFERROR(VLOOKUP(A170,[1]Sheet5!$A$3:$D$1335,4,0),0)</f>
        <v>30</v>
      </c>
      <c r="G170" s="10">
        <f t="shared" si="2"/>
        <v>23.76</v>
      </c>
    </row>
    <row r="171" spans="1:7" x14ac:dyDescent="0.3">
      <c r="A171" s="6" t="s">
        <v>95</v>
      </c>
      <c r="B171" s="7" t="s">
        <v>96</v>
      </c>
      <c r="C171" s="7" t="s">
        <v>92</v>
      </c>
      <c r="D171" s="8">
        <v>144</v>
      </c>
      <c r="E171" s="8">
        <v>3437</v>
      </c>
      <c r="F171" s="10">
        <f>+IFERROR(VLOOKUP(A171,[1]Sheet5!$A$3:$D$1335,4,0),0)</f>
        <v>23.86</v>
      </c>
      <c r="G171" s="10">
        <f t="shared" si="2"/>
        <v>82.006819999999991</v>
      </c>
    </row>
    <row r="172" spans="1:7" x14ac:dyDescent="0.3">
      <c r="A172" s="6" t="s">
        <v>97</v>
      </c>
      <c r="B172" s="7" t="s">
        <v>98</v>
      </c>
      <c r="C172" s="7" t="s">
        <v>92</v>
      </c>
      <c r="D172" s="8">
        <v>400</v>
      </c>
      <c r="E172" s="8">
        <v>233</v>
      </c>
      <c r="F172" s="10">
        <f>+IFERROR(VLOOKUP(A172,[1]Sheet5!$A$3:$D$1335,4,0),0)</f>
        <v>31.36</v>
      </c>
      <c r="G172" s="10">
        <f t="shared" si="2"/>
        <v>7.3068800000000005</v>
      </c>
    </row>
    <row r="173" spans="1:7" x14ac:dyDescent="0.3">
      <c r="A173" s="6" t="s">
        <v>344</v>
      </c>
      <c r="B173" s="7" t="s">
        <v>345</v>
      </c>
      <c r="C173" s="7" t="s">
        <v>346</v>
      </c>
      <c r="D173" s="8">
        <v>96</v>
      </c>
      <c r="E173" s="8">
        <v>48</v>
      </c>
      <c r="F173" s="10">
        <f>+IFERROR(VLOOKUP(A173,[1]Sheet5!$A$3:$D$1335,4,0),0)</f>
        <v>20</v>
      </c>
      <c r="G173" s="10">
        <f t="shared" si="2"/>
        <v>0.96</v>
      </c>
    </row>
    <row r="174" spans="1:7" x14ac:dyDescent="0.3">
      <c r="A174" s="10" t="s">
        <v>385</v>
      </c>
      <c r="B174" s="10" t="s">
        <v>386</v>
      </c>
      <c r="C174" s="10" t="s">
        <v>384</v>
      </c>
      <c r="D174" s="8">
        <v>2</v>
      </c>
      <c r="E174" s="8">
        <v>43</v>
      </c>
      <c r="F174" s="10">
        <f>+IFERROR(VLOOKUP(A174,[1]Sheet5!$A$3:$D$1335,4,0),0)</f>
        <v>14.6</v>
      </c>
      <c r="G174" s="10">
        <f t="shared" si="2"/>
        <v>0.62779999999999991</v>
      </c>
    </row>
    <row r="175" spans="1:7" x14ac:dyDescent="0.3">
      <c r="A175" s="21" t="s">
        <v>384</v>
      </c>
      <c r="B175" s="22"/>
      <c r="C175" s="23"/>
      <c r="D175" s="15"/>
      <c r="E175" s="15"/>
      <c r="F175" s="15"/>
      <c r="G175" s="15">
        <f>SUM(G170:G174)</f>
        <v>114.66149999999999</v>
      </c>
    </row>
    <row r="176" spans="1:7" x14ac:dyDescent="0.3">
      <c r="A176" s="6" t="s">
        <v>7</v>
      </c>
      <c r="B176" s="7" t="s">
        <v>8</v>
      </c>
      <c r="C176" s="7" t="s">
        <v>6</v>
      </c>
      <c r="D176" s="8">
        <v>55</v>
      </c>
      <c r="E176" s="8">
        <v>8259</v>
      </c>
      <c r="F176" s="10">
        <f>+IFERROR(VLOOKUP(A176,[1]Sheet5!$A$3:$D$1335,4,0),0)</f>
        <v>0.62</v>
      </c>
      <c r="G176" s="10">
        <f>+E176*F176</f>
        <v>5120.58</v>
      </c>
    </row>
    <row r="177" spans="1:7" x14ac:dyDescent="0.3">
      <c r="A177" s="6" t="s">
        <v>9</v>
      </c>
      <c r="B177" s="7" t="s">
        <v>10</v>
      </c>
      <c r="C177" s="7" t="s">
        <v>6</v>
      </c>
      <c r="D177" s="8">
        <v>30</v>
      </c>
      <c r="E177" s="8">
        <v>4670</v>
      </c>
      <c r="F177" s="10">
        <f>+IFERROR(VLOOKUP(A177,[1]Sheet5!$A$3:$D$1335,4,0),0)</f>
        <v>0.99</v>
      </c>
      <c r="G177" s="10">
        <f t="shared" ref="G177:G225" si="3">+E177*F177</f>
        <v>4623.3</v>
      </c>
    </row>
    <row r="178" spans="1:7" x14ac:dyDescent="0.3">
      <c r="A178" s="6" t="s">
        <v>11</v>
      </c>
      <c r="B178" s="7" t="s">
        <v>12</v>
      </c>
      <c r="C178" s="7" t="s">
        <v>6</v>
      </c>
      <c r="D178" s="8">
        <v>30</v>
      </c>
      <c r="E178" s="8">
        <v>1599</v>
      </c>
      <c r="F178" s="10">
        <f>+IFERROR(VLOOKUP(A178,[1]Sheet5!$A$3:$D$1335,4,0),0)</f>
        <v>0.8</v>
      </c>
      <c r="G178" s="10">
        <f t="shared" si="3"/>
        <v>1279.2</v>
      </c>
    </row>
    <row r="179" spans="1:7" x14ac:dyDescent="0.3">
      <c r="A179" s="6" t="s">
        <v>13</v>
      </c>
      <c r="B179" s="7" t="s">
        <v>8</v>
      </c>
      <c r="C179" s="7" t="s">
        <v>6</v>
      </c>
      <c r="D179" s="8">
        <v>55</v>
      </c>
      <c r="E179" s="8">
        <v>346</v>
      </c>
      <c r="F179" s="10">
        <f>+IFERROR(VLOOKUP(A179,[1]Sheet5!$A$3:$D$1335,4,0),0)</f>
        <v>1.0333333333333332</v>
      </c>
      <c r="G179" s="10">
        <f t="shared" si="3"/>
        <v>357.5333333333333</v>
      </c>
    </row>
    <row r="180" spans="1:7" x14ac:dyDescent="0.3">
      <c r="A180" s="20" t="s">
        <v>414</v>
      </c>
      <c r="B180" s="20"/>
      <c r="C180" s="20"/>
      <c r="D180" s="15"/>
      <c r="E180" s="15"/>
      <c r="F180" s="15"/>
      <c r="G180" s="15">
        <f>SUM(G176:G179)</f>
        <v>11380.613333333335</v>
      </c>
    </row>
    <row r="181" spans="1:7" x14ac:dyDescent="0.3">
      <c r="A181" s="6" t="s">
        <v>100</v>
      </c>
      <c r="B181" s="7" t="s">
        <v>101</v>
      </c>
      <c r="C181" s="7" t="s">
        <v>99</v>
      </c>
      <c r="D181" s="8">
        <v>30</v>
      </c>
      <c r="E181" s="8">
        <v>8760</v>
      </c>
      <c r="F181" s="10">
        <f>+IFERROR(VLOOKUP(A181,[1]Sheet5!$A$3:$D$1335,4,0),0)</f>
        <v>0.85</v>
      </c>
      <c r="G181" s="10">
        <f t="shared" si="3"/>
        <v>7446</v>
      </c>
    </row>
    <row r="182" spans="1:7" x14ac:dyDescent="0.3">
      <c r="A182" s="6" t="s">
        <v>103</v>
      </c>
      <c r="B182" s="7" t="s">
        <v>104</v>
      </c>
      <c r="C182" s="7" t="s">
        <v>99</v>
      </c>
      <c r="D182" s="8">
        <v>15</v>
      </c>
      <c r="E182" s="8">
        <v>265</v>
      </c>
      <c r="F182" s="10">
        <f>+IFERROR(VLOOKUP(A182,[1]Sheet5!$A$3:$D$1335,4,0),0)</f>
        <v>2.2200000000000002</v>
      </c>
      <c r="G182" s="10">
        <f t="shared" si="3"/>
        <v>588.30000000000007</v>
      </c>
    </row>
    <row r="183" spans="1:7" x14ac:dyDescent="0.3">
      <c r="A183" s="6" t="s">
        <v>105</v>
      </c>
      <c r="B183" s="7" t="s">
        <v>102</v>
      </c>
      <c r="C183" s="7" t="s">
        <v>99</v>
      </c>
      <c r="D183" s="8">
        <v>20</v>
      </c>
      <c r="E183" s="8">
        <v>780</v>
      </c>
      <c r="F183" s="10">
        <f>+IFERROR(VLOOKUP(A183,[1]Sheet5!$A$3:$D$1335,4,0),0)</f>
        <v>3.2200000000000006</v>
      </c>
      <c r="G183" s="10">
        <f t="shared" si="3"/>
        <v>2511.6000000000004</v>
      </c>
    </row>
    <row r="184" spans="1:7" x14ac:dyDescent="0.3">
      <c r="A184" s="20" t="s">
        <v>415</v>
      </c>
      <c r="B184" s="20"/>
      <c r="C184" s="20"/>
      <c r="D184" s="15"/>
      <c r="E184" s="15"/>
      <c r="F184" s="15"/>
      <c r="G184" s="15">
        <f>SUM(G181:G183)</f>
        <v>10545.900000000001</v>
      </c>
    </row>
    <row r="185" spans="1:7" x14ac:dyDescent="0.3">
      <c r="A185" s="6" t="s">
        <v>214</v>
      </c>
      <c r="B185" s="7" t="s">
        <v>215</v>
      </c>
      <c r="C185" s="7" t="s">
        <v>216</v>
      </c>
      <c r="D185" s="8">
        <v>1</v>
      </c>
      <c r="E185" s="8">
        <v>7118</v>
      </c>
      <c r="F185" s="10">
        <f>+IFERROR(VLOOKUP(A185,[1]Sheet5!$A$3:$D$1335,4,0),0)</f>
        <v>3.8</v>
      </c>
      <c r="G185" s="10">
        <f t="shared" si="3"/>
        <v>27048.399999999998</v>
      </c>
    </row>
    <row r="186" spans="1:7" x14ac:dyDescent="0.3">
      <c r="A186" s="6" t="s">
        <v>217</v>
      </c>
      <c r="B186" s="7" t="s">
        <v>218</v>
      </c>
      <c r="C186" s="7" t="s">
        <v>216</v>
      </c>
      <c r="D186" s="8">
        <v>1</v>
      </c>
      <c r="E186" s="8">
        <v>444</v>
      </c>
      <c r="F186" s="10">
        <f>+IFERROR(VLOOKUP(A186,[1]Sheet5!$A$3:$D$1335,4,0),0)</f>
        <v>3.8</v>
      </c>
      <c r="G186" s="10">
        <f t="shared" si="3"/>
        <v>1687.1999999999998</v>
      </c>
    </row>
    <row r="187" spans="1:7" x14ac:dyDescent="0.3">
      <c r="A187" s="6" t="s">
        <v>219</v>
      </c>
      <c r="B187" s="7" t="s">
        <v>220</v>
      </c>
      <c r="C187" s="7" t="s">
        <v>216</v>
      </c>
      <c r="D187" s="8">
        <v>1</v>
      </c>
      <c r="E187" s="8">
        <v>160</v>
      </c>
      <c r="F187" s="10">
        <f>+IFERROR(VLOOKUP(A187,[1]Sheet5!$A$3:$D$1335,4,0),0)</f>
        <v>7.5</v>
      </c>
      <c r="G187" s="10">
        <f t="shared" si="3"/>
        <v>1200</v>
      </c>
    </row>
    <row r="188" spans="1:7" x14ac:dyDescent="0.3">
      <c r="A188" s="6" t="s">
        <v>221</v>
      </c>
      <c r="B188" s="7" t="s">
        <v>222</v>
      </c>
      <c r="C188" s="7" t="s">
        <v>216</v>
      </c>
      <c r="D188" s="8">
        <v>1</v>
      </c>
      <c r="E188" s="8">
        <v>50</v>
      </c>
      <c r="F188" s="10">
        <f>+IFERROR(VLOOKUP(A188,[1]Sheet5!$A$3:$D$1335,4,0),0)</f>
        <v>7.5</v>
      </c>
      <c r="G188" s="10">
        <f t="shared" si="3"/>
        <v>375</v>
      </c>
    </row>
    <row r="189" spans="1:7" x14ac:dyDescent="0.3">
      <c r="A189" s="6" t="s">
        <v>223</v>
      </c>
      <c r="B189" s="7" t="s">
        <v>224</v>
      </c>
      <c r="C189" s="7" t="s">
        <v>216</v>
      </c>
      <c r="D189" s="8">
        <v>1</v>
      </c>
      <c r="E189" s="8">
        <v>35</v>
      </c>
      <c r="F189" s="10">
        <f>+IFERROR(VLOOKUP(A189,[1]Sheet5!$A$3:$D$1335,4,0),0)</f>
        <v>1.1400000000000001</v>
      </c>
      <c r="G189" s="10">
        <f t="shared" si="3"/>
        <v>39.900000000000006</v>
      </c>
    </row>
    <row r="190" spans="1:7" x14ac:dyDescent="0.3">
      <c r="A190" s="6" t="s">
        <v>225</v>
      </c>
      <c r="B190" s="7" t="s">
        <v>226</v>
      </c>
      <c r="C190" s="7" t="s">
        <v>216</v>
      </c>
      <c r="D190" s="8">
        <v>1</v>
      </c>
      <c r="E190" s="8">
        <v>169</v>
      </c>
      <c r="F190" s="10">
        <f>+IFERROR(VLOOKUP(A190,[1]Sheet5!$A$3:$D$1335,4,0),0)</f>
        <v>1.52</v>
      </c>
      <c r="G190" s="10">
        <f t="shared" si="3"/>
        <v>256.88</v>
      </c>
    </row>
    <row r="191" spans="1:7" x14ac:dyDescent="0.3">
      <c r="A191" s="6" t="s">
        <v>227</v>
      </c>
      <c r="B191" s="7" t="s">
        <v>228</v>
      </c>
      <c r="C191" s="7" t="s">
        <v>216</v>
      </c>
      <c r="D191" s="8">
        <v>1</v>
      </c>
      <c r="E191" s="8">
        <v>22</v>
      </c>
      <c r="F191" s="10">
        <f>+IFERROR(VLOOKUP(A191,[1]Sheet5!$A$3:$D$1335,4,0),0)</f>
        <v>2.2800000000000002</v>
      </c>
      <c r="G191" s="10">
        <f t="shared" si="3"/>
        <v>50.160000000000004</v>
      </c>
    </row>
    <row r="192" spans="1:7" x14ac:dyDescent="0.3">
      <c r="A192" s="6" t="s">
        <v>229</v>
      </c>
      <c r="B192" s="7" t="s">
        <v>230</v>
      </c>
      <c r="C192" s="7" t="s">
        <v>216</v>
      </c>
      <c r="D192" s="8">
        <v>1</v>
      </c>
      <c r="E192" s="8">
        <v>25</v>
      </c>
      <c r="F192" s="10">
        <f>+IFERROR(VLOOKUP(A192,[1]Sheet5!$A$3:$D$1335,4,0),0)</f>
        <v>2.2800000000000002</v>
      </c>
      <c r="G192" s="10">
        <f t="shared" si="3"/>
        <v>57.000000000000007</v>
      </c>
    </row>
    <row r="193" spans="1:7" x14ac:dyDescent="0.3">
      <c r="A193" s="6" t="s">
        <v>231</v>
      </c>
      <c r="B193" s="7" t="s">
        <v>232</v>
      </c>
      <c r="C193" s="7" t="s">
        <v>216</v>
      </c>
      <c r="D193" s="8">
        <v>1</v>
      </c>
      <c r="E193" s="8">
        <v>50</v>
      </c>
      <c r="F193" s="10">
        <f>+IFERROR(VLOOKUP(A193,[1]Sheet5!$A$3:$D$1335,4,0),0)</f>
        <v>7.6</v>
      </c>
      <c r="G193" s="10">
        <f t="shared" si="3"/>
        <v>380</v>
      </c>
    </row>
    <row r="194" spans="1:7" x14ac:dyDescent="0.3">
      <c r="A194" s="6" t="s">
        <v>233</v>
      </c>
      <c r="B194" s="7" t="s">
        <v>234</v>
      </c>
      <c r="C194" s="7" t="s">
        <v>216</v>
      </c>
      <c r="D194" s="8">
        <v>1</v>
      </c>
      <c r="E194" s="8">
        <v>70</v>
      </c>
      <c r="F194" s="10">
        <f>+IFERROR(VLOOKUP(A194,[1]Sheet5!$A$3:$D$1335,4,0),0)</f>
        <v>7.6</v>
      </c>
      <c r="G194" s="10">
        <f t="shared" si="3"/>
        <v>532</v>
      </c>
    </row>
    <row r="195" spans="1:7" x14ac:dyDescent="0.3">
      <c r="A195" s="6" t="s">
        <v>235</v>
      </c>
      <c r="B195" s="7" t="s">
        <v>236</v>
      </c>
      <c r="C195" s="7" t="s">
        <v>216</v>
      </c>
      <c r="D195" s="8">
        <v>1</v>
      </c>
      <c r="E195" s="8">
        <v>38</v>
      </c>
      <c r="F195" s="10">
        <f>+IFERROR(VLOOKUP(A195,[1]Sheet5!$A$3:$D$1335,4,0),0)</f>
        <v>15.1</v>
      </c>
      <c r="G195" s="10">
        <f t="shared" si="3"/>
        <v>573.79999999999995</v>
      </c>
    </row>
    <row r="196" spans="1:7" x14ac:dyDescent="0.3">
      <c r="A196" s="6" t="s">
        <v>237</v>
      </c>
      <c r="B196" s="7" t="s">
        <v>238</v>
      </c>
      <c r="C196" s="7" t="s">
        <v>216</v>
      </c>
      <c r="D196" s="8">
        <v>1</v>
      </c>
      <c r="E196" s="8">
        <v>4714</v>
      </c>
      <c r="F196" s="10">
        <f>+IFERROR(VLOOKUP(A196,[1]Sheet5!$A$3:$D$1335,4,0),0)</f>
        <v>2.4</v>
      </c>
      <c r="G196" s="10">
        <f t="shared" si="3"/>
        <v>11313.6</v>
      </c>
    </row>
    <row r="197" spans="1:7" x14ac:dyDescent="0.3">
      <c r="A197" s="6" t="s">
        <v>239</v>
      </c>
      <c r="B197" s="7" t="s">
        <v>240</v>
      </c>
      <c r="C197" s="7" t="s">
        <v>216</v>
      </c>
      <c r="D197" s="8">
        <v>1</v>
      </c>
      <c r="E197" s="8">
        <v>1600</v>
      </c>
      <c r="F197" s="10">
        <f>+IFERROR(VLOOKUP(A197,[1]Sheet5!$A$3:$D$1335,4,0),0)</f>
        <v>2.4</v>
      </c>
      <c r="G197" s="10">
        <f t="shared" si="3"/>
        <v>3840</v>
      </c>
    </row>
    <row r="198" spans="1:7" x14ac:dyDescent="0.3">
      <c r="A198" s="6" t="s">
        <v>241</v>
      </c>
      <c r="B198" s="7" t="s">
        <v>242</v>
      </c>
      <c r="C198" s="7" t="s">
        <v>216</v>
      </c>
      <c r="D198" s="8">
        <v>1</v>
      </c>
      <c r="E198" s="8">
        <v>90</v>
      </c>
      <c r="F198" s="10">
        <f>+IFERROR(VLOOKUP(A198,[1]Sheet5!$A$3:$D$1335,4,0),0)</f>
        <v>4.7</v>
      </c>
      <c r="G198" s="10">
        <f t="shared" si="3"/>
        <v>423</v>
      </c>
    </row>
    <row r="199" spans="1:7" x14ac:dyDescent="0.3">
      <c r="A199" s="6" t="s">
        <v>243</v>
      </c>
      <c r="B199" s="7" t="s">
        <v>244</v>
      </c>
      <c r="C199" s="7" t="s">
        <v>216</v>
      </c>
      <c r="D199" s="8">
        <v>1</v>
      </c>
      <c r="E199" s="8">
        <v>435</v>
      </c>
      <c r="F199" s="10">
        <f>+IFERROR(VLOOKUP(A199,[1]Sheet5!$A$3:$D$1335,4,0),0)</f>
        <v>1.44</v>
      </c>
      <c r="G199" s="10">
        <f t="shared" si="3"/>
        <v>626.4</v>
      </c>
    </row>
    <row r="200" spans="1:7" x14ac:dyDescent="0.3">
      <c r="A200" s="6" t="s">
        <v>245</v>
      </c>
      <c r="B200" s="7" t="s">
        <v>246</v>
      </c>
      <c r="C200" s="7" t="s">
        <v>216</v>
      </c>
      <c r="D200" s="8">
        <v>1</v>
      </c>
      <c r="E200" s="8">
        <v>68</v>
      </c>
      <c r="F200" s="10">
        <f>+IFERROR(VLOOKUP(A200,[1]Sheet5!$A$3:$D$1335,4,0),0)</f>
        <v>1.44</v>
      </c>
      <c r="G200" s="10">
        <f t="shared" si="3"/>
        <v>97.92</v>
      </c>
    </row>
    <row r="201" spans="1:7" x14ac:dyDescent="0.3">
      <c r="A201" s="6" t="s">
        <v>247</v>
      </c>
      <c r="B201" s="7" t="s">
        <v>248</v>
      </c>
      <c r="C201" s="7" t="s">
        <v>216</v>
      </c>
      <c r="D201" s="8">
        <v>1</v>
      </c>
      <c r="E201" s="8">
        <v>188</v>
      </c>
      <c r="F201" s="10">
        <f>+IFERROR(VLOOKUP(A201,[1]Sheet5!$A$3:$D$1335,4,0),0)</f>
        <v>2.6</v>
      </c>
      <c r="G201" s="10">
        <f t="shared" si="3"/>
        <v>488.8</v>
      </c>
    </row>
    <row r="202" spans="1:7" x14ac:dyDescent="0.3">
      <c r="A202" s="6" t="s">
        <v>249</v>
      </c>
      <c r="B202" s="7" t="s">
        <v>250</v>
      </c>
      <c r="C202" s="7" t="s">
        <v>216</v>
      </c>
      <c r="D202" s="8">
        <v>1</v>
      </c>
      <c r="E202" s="8">
        <v>14</v>
      </c>
      <c r="F202" s="10">
        <f>+IFERROR(VLOOKUP(A202,[1]Sheet5!$A$3:$D$1335,4,0),0)</f>
        <v>1.04</v>
      </c>
      <c r="G202" s="10">
        <f t="shared" si="3"/>
        <v>14.56</v>
      </c>
    </row>
    <row r="203" spans="1:7" x14ac:dyDescent="0.3">
      <c r="A203" s="6" t="s">
        <v>251</v>
      </c>
      <c r="B203" s="7" t="s">
        <v>252</v>
      </c>
      <c r="C203" s="7" t="s">
        <v>216</v>
      </c>
      <c r="D203" s="8">
        <v>1</v>
      </c>
      <c r="E203" s="8">
        <v>308</v>
      </c>
      <c r="F203" s="10">
        <f>+IFERROR(VLOOKUP(A203,[1]Sheet5!$A$3:$D$1335,4,0),0)</f>
        <v>7.5</v>
      </c>
      <c r="G203" s="10">
        <f t="shared" si="3"/>
        <v>2310</v>
      </c>
    </row>
    <row r="204" spans="1:7" x14ac:dyDescent="0.3">
      <c r="A204" s="6" t="s">
        <v>253</v>
      </c>
      <c r="B204" s="7" t="s">
        <v>254</v>
      </c>
      <c r="C204" s="7" t="s">
        <v>216</v>
      </c>
      <c r="D204" s="8">
        <v>1</v>
      </c>
      <c r="E204" s="8">
        <v>24</v>
      </c>
      <c r="F204" s="10">
        <f>+IFERROR(VLOOKUP(A204,[1]Sheet5!$A$3:$D$1335,4,0),0)</f>
        <v>7.6</v>
      </c>
      <c r="G204" s="10">
        <f t="shared" si="3"/>
        <v>182.39999999999998</v>
      </c>
    </row>
    <row r="205" spans="1:7" x14ac:dyDescent="0.3">
      <c r="A205" s="6" t="s">
        <v>255</v>
      </c>
      <c r="B205" s="7" t="s">
        <v>256</v>
      </c>
      <c r="C205" s="7" t="s">
        <v>216</v>
      </c>
      <c r="D205" s="8">
        <v>1</v>
      </c>
      <c r="E205" s="8">
        <v>110</v>
      </c>
      <c r="F205" s="10">
        <f>+IFERROR(VLOOKUP(A205,[1]Sheet5!$A$3:$D$1335,4,0),0)</f>
        <v>15.1</v>
      </c>
      <c r="G205" s="10">
        <f t="shared" si="3"/>
        <v>1661</v>
      </c>
    </row>
    <row r="206" spans="1:7" x14ac:dyDescent="0.3">
      <c r="A206" s="6" t="s">
        <v>257</v>
      </c>
      <c r="B206" s="7" t="s">
        <v>258</v>
      </c>
      <c r="C206" s="7" t="s">
        <v>216</v>
      </c>
      <c r="D206" s="8">
        <v>1</v>
      </c>
      <c r="E206" s="8">
        <v>5</v>
      </c>
      <c r="F206" s="10">
        <f>+IFERROR(VLOOKUP(A206,[1]Sheet5!$A$3:$D$1335,4,0),0)</f>
        <v>2.6</v>
      </c>
      <c r="G206" s="10">
        <f t="shared" si="3"/>
        <v>13</v>
      </c>
    </row>
    <row r="207" spans="1:7" x14ac:dyDescent="0.3">
      <c r="A207" s="6" t="s">
        <v>259</v>
      </c>
      <c r="B207" s="7" t="s">
        <v>260</v>
      </c>
      <c r="C207" s="7" t="s">
        <v>216</v>
      </c>
      <c r="D207" s="8">
        <v>1</v>
      </c>
      <c r="E207" s="8">
        <v>233</v>
      </c>
      <c r="F207" s="10">
        <f>+IFERROR(VLOOKUP(A207,[1]Sheet5!$A$3:$D$1335,4,0),0)</f>
        <v>5.0999999999999996</v>
      </c>
      <c r="G207" s="10">
        <f t="shared" si="3"/>
        <v>1188.3</v>
      </c>
    </row>
    <row r="208" spans="1:7" x14ac:dyDescent="0.3">
      <c r="A208" s="9" t="s">
        <v>374</v>
      </c>
      <c r="B208" s="9" t="s">
        <v>375</v>
      </c>
      <c r="C208" s="10" t="s">
        <v>216</v>
      </c>
      <c r="D208" s="8">
        <v>1</v>
      </c>
      <c r="E208" s="8">
        <v>50</v>
      </c>
      <c r="F208" s="10">
        <f>+IFERROR(VLOOKUP(A208,[1]Sheet5!$A$3:$D$1335,4,0),0)</f>
        <v>1.1200000000000001</v>
      </c>
      <c r="G208" s="10">
        <f t="shared" si="3"/>
        <v>56.000000000000007</v>
      </c>
    </row>
    <row r="209" spans="1:7" x14ac:dyDescent="0.3">
      <c r="A209" s="9" t="s">
        <v>376</v>
      </c>
      <c r="B209" s="9" t="s">
        <v>377</v>
      </c>
      <c r="C209" s="10" t="s">
        <v>216</v>
      </c>
      <c r="D209" s="8">
        <v>1</v>
      </c>
      <c r="E209" s="8">
        <v>100</v>
      </c>
      <c r="F209" s="10">
        <f>+IFERROR(VLOOKUP(A209,[1]Sheet5!$A$3:$D$1335,4,0),0)</f>
        <v>1.52</v>
      </c>
      <c r="G209" s="10">
        <f t="shared" si="3"/>
        <v>152</v>
      </c>
    </row>
    <row r="210" spans="1:7" x14ac:dyDescent="0.3">
      <c r="A210" s="20" t="s">
        <v>416</v>
      </c>
      <c r="B210" s="20"/>
      <c r="C210" s="20"/>
      <c r="D210" s="15"/>
      <c r="E210" s="15"/>
      <c r="F210" s="15"/>
      <c r="G210" s="15">
        <f>SUM(G185:G209)</f>
        <v>54567.320000000007</v>
      </c>
    </row>
    <row r="211" spans="1:7" x14ac:dyDescent="0.3">
      <c r="A211" s="9" t="s">
        <v>295</v>
      </c>
      <c r="B211" s="7" t="s">
        <v>296</v>
      </c>
      <c r="C211" s="7" t="s">
        <v>294</v>
      </c>
      <c r="D211" s="8">
        <v>1</v>
      </c>
      <c r="E211" s="8">
        <v>30</v>
      </c>
      <c r="F211" s="10">
        <f>+IFERROR(VLOOKUP(A211,[1]Sheet5!$A$3:$D$1335,4,0),0)</f>
        <v>5.3019999999999996</v>
      </c>
      <c r="G211" s="10">
        <f t="shared" si="3"/>
        <v>159.06</v>
      </c>
    </row>
    <row r="212" spans="1:7" x14ac:dyDescent="0.3">
      <c r="A212" s="6" t="s">
        <v>297</v>
      </c>
      <c r="B212" s="7" t="s">
        <v>298</v>
      </c>
      <c r="C212" s="7" t="s">
        <v>294</v>
      </c>
      <c r="D212" s="8">
        <v>1</v>
      </c>
      <c r="E212" s="8">
        <v>309</v>
      </c>
      <c r="F212" s="10">
        <f>+IFERROR(VLOOKUP(A212,[1]Sheet5!$A$3:$D$1335,4,0),0)</f>
        <v>4.7</v>
      </c>
      <c r="G212" s="10">
        <f t="shared" si="3"/>
        <v>1452.3</v>
      </c>
    </row>
    <row r="213" spans="1:7" x14ac:dyDescent="0.3">
      <c r="A213" s="6" t="s">
        <v>299</v>
      </c>
      <c r="B213" s="7" t="s">
        <v>300</v>
      </c>
      <c r="C213" s="7" t="s">
        <v>294</v>
      </c>
      <c r="D213" s="8">
        <v>1</v>
      </c>
      <c r="E213" s="8">
        <v>150</v>
      </c>
      <c r="F213" s="10">
        <f>+IFERROR(VLOOKUP(A213,[1]Sheet5!$A$3:$D$1335,4,0),0)</f>
        <v>2.6</v>
      </c>
      <c r="G213" s="10">
        <f t="shared" si="3"/>
        <v>390</v>
      </c>
    </row>
    <row r="214" spans="1:7" x14ac:dyDescent="0.3">
      <c r="A214" s="6" t="s">
        <v>354</v>
      </c>
      <c r="B214" s="7" t="s">
        <v>355</v>
      </c>
      <c r="C214" s="7" t="s">
        <v>294</v>
      </c>
      <c r="D214" s="8">
        <v>1</v>
      </c>
      <c r="E214" s="8">
        <v>100</v>
      </c>
      <c r="F214" s="10">
        <f>+IFERROR(VLOOKUP(A214,[1]Sheet5!$A$3:$D$1335,4,0),0)</f>
        <v>1.65</v>
      </c>
      <c r="G214" s="10">
        <f t="shared" si="3"/>
        <v>165</v>
      </c>
    </row>
    <row r="215" spans="1:7" x14ac:dyDescent="0.3">
      <c r="A215" s="20" t="s">
        <v>417</v>
      </c>
      <c r="B215" s="20"/>
      <c r="C215" s="20"/>
      <c r="D215" s="15"/>
      <c r="E215" s="15"/>
      <c r="F215" s="15"/>
      <c r="G215" s="15">
        <f>SUM(G211:G214)</f>
        <v>2166.3599999999997</v>
      </c>
    </row>
    <row r="216" spans="1:7" x14ac:dyDescent="0.3">
      <c r="A216" s="6" t="s">
        <v>389</v>
      </c>
      <c r="B216" s="7" t="s">
        <v>390</v>
      </c>
      <c r="C216" s="7" t="s">
        <v>388</v>
      </c>
      <c r="D216" s="8">
        <v>15</v>
      </c>
      <c r="E216" s="8">
        <v>570</v>
      </c>
      <c r="F216" s="10">
        <f>+IFERROR(VLOOKUP(A216,[1]Sheet5!$A$3:$D$1335,4,0),0)</f>
        <v>1.32</v>
      </c>
      <c r="G216" s="10">
        <f t="shared" si="3"/>
        <v>752.40000000000009</v>
      </c>
    </row>
    <row r="217" spans="1:7" x14ac:dyDescent="0.3">
      <c r="A217" s="6" t="s">
        <v>391</v>
      </c>
      <c r="B217" s="7" t="s">
        <v>392</v>
      </c>
      <c r="C217" s="7" t="s">
        <v>388</v>
      </c>
      <c r="D217" s="8">
        <v>15</v>
      </c>
      <c r="E217" s="8">
        <v>585</v>
      </c>
      <c r="F217" s="10">
        <f>+IFERROR(VLOOKUP(A217,[1]Sheet5!$A$3:$D$1335,4,0),0)</f>
        <v>1.49</v>
      </c>
      <c r="G217" s="10">
        <f t="shared" si="3"/>
        <v>871.65</v>
      </c>
    </row>
    <row r="218" spans="1:7" x14ac:dyDescent="0.3">
      <c r="A218" s="9" t="s">
        <v>394</v>
      </c>
      <c r="B218" s="10" t="s">
        <v>395</v>
      </c>
      <c r="C218" s="10" t="s">
        <v>388</v>
      </c>
      <c r="D218" s="8">
        <v>15</v>
      </c>
      <c r="E218" s="8">
        <v>150</v>
      </c>
      <c r="F218" s="10">
        <f>+IFERROR(VLOOKUP(A218,[1]Sheet5!$A$3:$D$1335,4,0),0)</f>
        <v>1.32</v>
      </c>
      <c r="G218" s="10">
        <f t="shared" si="3"/>
        <v>198</v>
      </c>
    </row>
    <row r="219" spans="1:7" x14ac:dyDescent="0.3">
      <c r="A219" s="20" t="s">
        <v>418</v>
      </c>
      <c r="B219" s="20"/>
      <c r="C219" s="20"/>
      <c r="D219" s="15"/>
      <c r="E219" s="15"/>
      <c r="F219" s="15"/>
      <c r="G219" s="15">
        <f>SUM(G216:G218)</f>
        <v>1822.0500000000002</v>
      </c>
    </row>
    <row r="220" spans="1:7" x14ac:dyDescent="0.3">
      <c r="A220" s="6" t="s">
        <v>348</v>
      </c>
      <c r="B220" s="7" t="s">
        <v>349</v>
      </c>
      <c r="C220" s="7" t="s">
        <v>347</v>
      </c>
      <c r="D220" s="8">
        <v>1</v>
      </c>
      <c r="E220" s="8">
        <v>1</v>
      </c>
      <c r="F220" s="10">
        <f>+IFERROR(VLOOKUP(A220,[1]Sheet5!$A$3:$D$1335,4,0),0)</f>
        <v>41.7</v>
      </c>
      <c r="G220" s="10">
        <f t="shared" si="3"/>
        <v>41.7</v>
      </c>
    </row>
    <row r="221" spans="1:7" x14ac:dyDescent="0.3">
      <c r="A221" s="6" t="s">
        <v>350</v>
      </c>
      <c r="B221" s="7" t="s">
        <v>351</v>
      </c>
      <c r="C221" s="7" t="s">
        <v>347</v>
      </c>
      <c r="D221" s="8">
        <v>1</v>
      </c>
      <c r="E221" s="8">
        <v>5</v>
      </c>
      <c r="F221" s="10">
        <f>+IFERROR(VLOOKUP(A221,[1]Sheet5!$A$3:$D$1335,4,0),0)</f>
        <v>20.5</v>
      </c>
      <c r="G221" s="10">
        <f t="shared" si="3"/>
        <v>102.5</v>
      </c>
    </row>
    <row r="222" spans="1:7" x14ac:dyDescent="0.3">
      <c r="A222" s="6" t="s">
        <v>352</v>
      </c>
      <c r="B222" s="7" t="s">
        <v>353</v>
      </c>
      <c r="C222" s="7" t="s">
        <v>347</v>
      </c>
      <c r="D222" s="8">
        <v>1</v>
      </c>
      <c r="E222" s="8">
        <v>23</v>
      </c>
      <c r="F222" s="10">
        <f>+IFERROR(VLOOKUP(A222,[1]Sheet5!$A$3:$D$1335,4,0),0)</f>
        <v>18.5</v>
      </c>
      <c r="G222" s="10">
        <f t="shared" si="3"/>
        <v>425.5</v>
      </c>
    </row>
    <row r="223" spans="1:7" x14ac:dyDescent="0.3">
      <c r="A223" s="10" t="s">
        <v>404</v>
      </c>
      <c r="B223" s="10" t="s">
        <v>405</v>
      </c>
      <c r="C223" s="9" t="s">
        <v>370</v>
      </c>
      <c r="D223" s="8">
        <v>1</v>
      </c>
      <c r="E223" s="8">
        <v>9</v>
      </c>
      <c r="F223" s="10">
        <f>+IFERROR(VLOOKUP(A223,[1]Sheet5!$A$3:$D$1335,4,0),0)</f>
        <v>18</v>
      </c>
      <c r="G223" s="10">
        <f t="shared" si="3"/>
        <v>162</v>
      </c>
    </row>
    <row r="224" spans="1:7" x14ac:dyDescent="0.3">
      <c r="A224" s="10" t="s">
        <v>406</v>
      </c>
      <c r="B224" s="10" t="s">
        <v>407</v>
      </c>
      <c r="C224" s="9" t="s">
        <v>370</v>
      </c>
      <c r="D224" s="8">
        <v>1</v>
      </c>
      <c r="E224" s="8">
        <v>25</v>
      </c>
      <c r="F224" s="10">
        <f>+IFERROR(VLOOKUP(A224,[1]Sheet5!$A$3:$D$1335,4,0),0)</f>
        <v>22.5</v>
      </c>
      <c r="G224" s="10">
        <f t="shared" si="3"/>
        <v>562.5</v>
      </c>
    </row>
    <row r="225" spans="1:7" x14ac:dyDescent="0.3">
      <c r="A225" s="13" t="s">
        <v>408</v>
      </c>
      <c r="B225" s="10" t="s">
        <v>405</v>
      </c>
      <c r="C225" s="9" t="s">
        <v>370</v>
      </c>
      <c r="D225" s="8">
        <v>1</v>
      </c>
      <c r="E225" s="8">
        <v>4</v>
      </c>
      <c r="F225" s="10">
        <f>+IFERROR(VLOOKUP(A225,[1]Sheet5!$A$3:$D$1335,4,0),0)</f>
        <v>18</v>
      </c>
      <c r="G225" s="10">
        <f t="shared" si="3"/>
        <v>72</v>
      </c>
    </row>
    <row r="226" spans="1:7" x14ac:dyDescent="0.3">
      <c r="A226" s="20" t="s">
        <v>419</v>
      </c>
      <c r="B226" s="20"/>
      <c r="C226" s="20"/>
      <c r="D226" s="15"/>
      <c r="E226" s="15"/>
      <c r="F226" s="15"/>
      <c r="G226" s="15">
        <f>SUM(G220:G225)</f>
        <v>1366.2</v>
      </c>
    </row>
    <row r="229" spans="1:7" x14ac:dyDescent="0.3">
      <c r="A229" s="20" t="s">
        <v>410</v>
      </c>
      <c r="B229" s="20"/>
      <c r="C229" s="20"/>
      <c r="D229" s="15"/>
      <c r="E229" s="15"/>
      <c r="F229" s="15">
        <v>912.26343499999973</v>
      </c>
      <c r="G229" s="15"/>
    </row>
    <row r="230" spans="1:7" x14ac:dyDescent="0.3">
      <c r="A230" s="20" t="s">
        <v>411</v>
      </c>
      <c r="B230" s="20"/>
      <c r="C230" s="20"/>
      <c r="D230" s="15"/>
      <c r="E230" s="15"/>
      <c r="F230" s="15">
        <v>7657.2735600000005</v>
      </c>
      <c r="G230" s="15"/>
    </row>
    <row r="231" spans="1:7" x14ac:dyDescent="0.3">
      <c r="A231" s="20" t="s">
        <v>412</v>
      </c>
      <c r="B231" s="20"/>
      <c r="C231" s="20"/>
      <c r="D231" s="15"/>
      <c r="E231" s="15"/>
      <c r="F231" s="15">
        <v>10009.8876</v>
      </c>
      <c r="G231" s="15"/>
    </row>
    <row r="232" spans="1:7" x14ac:dyDescent="0.3">
      <c r="A232" s="20" t="s">
        <v>413</v>
      </c>
      <c r="B232" s="20"/>
      <c r="C232" s="20"/>
      <c r="D232" s="15"/>
      <c r="E232" s="15"/>
      <c r="F232" s="15">
        <v>2398.6592999999998</v>
      </c>
      <c r="G232" s="15"/>
    </row>
    <row r="233" spans="1:7" x14ac:dyDescent="0.3">
      <c r="A233" s="21" t="s">
        <v>384</v>
      </c>
      <c r="B233" s="22"/>
      <c r="C233" s="23"/>
      <c r="D233" s="15"/>
      <c r="E233" s="15"/>
      <c r="F233" s="15">
        <v>114.66149999999999</v>
      </c>
      <c r="G233" s="15"/>
    </row>
    <row r="234" spans="1:7" x14ac:dyDescent="0.3">
      <c r="A234" s="17"/>
      <c r="B234" s="16" t="s">
        <v>420</v>
      </c>
      <c r="C234" s="18"/>
      <c r="D234" s="19"/>
      <c r="E234" s="19"/>
      <c r="F234" s="19">
        <f>SUM(F229:F233)</f>
        <v>21092.745394999998</v>
      </c>
      <c r="G234" s="19" t="s">
        <v>421</v>
      </c>
    </row>
    <row r="235" spans="1:7" x14ac:dyDescent="0.3">
      <c r="A235" s="20" t="s">
        <v>414</v>
      </c>
      <c r="B235" s="20"/>
      <c r="C235" s="20"/>
      <c r="D235" s="15"/>
      <c r="E235" s="15"/>
      <c r="F235" s="15">
        <v>11380.613333333335</v>
      </c>
      <c r="G235" s="15"/>
    </row>
    <row r="236" spans="1:7" x14ac:dyDescent="0.3">
      <c r="A236" s="20" t="s">
        <v>415</v>
      </c>
      <c r="B236" s="20"/>
      <c r="C236" s="20"/>
      <c r="D236" s="15"/>
      <c r="E236" s="15"/>
      <c r="F236" s="15">
        <v>10545.900000000001</v>
      </c>
      <c r="G236" s="15"/>
    </row>
    <row r="237" spans="1:7" x14ac:dyDescent="0.3">
      <c r="A237" s="20" t="s">
        <v>416</v>
      </c>
      <c r="B237" s="20"/>
      <c r="C237" s="20"/>
      <c r="D237" s="15"/>
      <c r="E237" s="15"/>
      <c r="F237" s="15">
        <v>54567.320000000007</v>
      </c>
      <c r="G237" s="15"/>
    </row>
    <row r="238" spans="1:7" x14ac:dyDescent="0.3">
      <c r="A238" s="20" t="s">
        <v>417</v>
      </c>
      <c r="B238" s="20"/>
      <c r="C238" s="20"/>
      <c r="D238" s="15"/>
      <c r="E238" s="15"/>
      <c r="F238" s="15">
        <v>2166.3599999999997</v>
      </c>
      <c r="G238" s="15"/>
    </row>
    <row r="239" spans="1:7" x14ac:dyDescent="0.3">
      <c r="A239" s="20" t="s">
        <v>418</v>
      </c>
      <c r="B239" s="20"/>
      <c r="C239" s="20"/>
      <c r="D239" s="15"/>
      <c r="E239" s="15"/>
      <c r="F239" s="15">
        <v>1822.0500000000002</v>
      </c>
      <c r="G239" s="15"/>
    </row>
    <row r="240" spans="1:7" x14ac:dyDescent="0.3">
      <c r="A240" s="20" t="s">
        <v>419</v>
      </c>
      <c r="B240" s="20"/>
      <c r="C240" s="20"/>
      <c r="D240" s="15"/>
      <c r="E240" s="15"/>
      <c r="F240" s="15">
        <v>1366.2</v>
      </c>
      <c r="G240" s="15"/>
    </row>
    <row r="241" spans="1:7" x14ac:dyDescent="0.3">
      <c r="A241" s="17"/>
      <c r="B241" s="16" t="s">
        <v>420</v>
      </c>
      <c r="C241" s="18"/>
      <c r="D241" s="19"/>
      <c r="E241" s="19"/>
      <c r="F241" s="19">
        <f>SUM(F235:F240)</f>
        <v>81848.443333333344</v>
      </c>
      <c r="G241" s="19" t="s">
        <v>422</v>
      </c>
    </row>
  </sheetData>
  <mergeCells count="22">
    <mergeCell ref="A229:C229"/>
    <mergeCell ref="A44:C44"/>
    <mergeCell ref="A101:C101"/>
    <mergeCell ref="A137:C137"/>
    <mergeCell ref="A169:C169"/>
    <mergeCell ref="A180:C180"/>
    <mergeCell ref="A184:C184"/>
    <mergeCell ref="A210:C210"/>
    <mergeCell ref="A215:C215"/>
    <mergeCell ref="A219:C219"/>
    <mergeCell ref="A226:C226"/>
    <mergeCell ref="A175:C175"/>
    <mergeCell ref="A237:C237"/>
    <mergeCell ref="A238:C238"/>
    <mergeCell ref="A239:C239"/>
    <mergeCell ref="A240:C240"/>
    <mergeCell ref="A230:C230"/>
    <mergeCell ref="A231:C231"/>
    <mergeCell ref="A232:C232"/>
    <mergeCell ref="A233:C233"/>
    <mergeCell ref="A235:C235"/>
    <mergeCell ref="A236:C236"/>
  </mergeCells>
  <conditionalFormatting sqref="A1">
    <cfRule type="duplicateValues" dxfId="67" priority="89"/>
  </conditionalFormatting>
  <conditionalFormatting sqref="A2:A43">
    <cfRule type="duplicateValues" dxfId="66" priority="84"/>
    <cfRule type="duplicateValues" dxfId="65" priority="85"/>
    <cfRule type="duplicateValues" dxfId="64" priority="86"/>
    <cfRule type="duplicateValues" dxfId="63" priority="87"/>
  </conditionalFormatting>
  <conditionalFormatting sqref="A41">
    <cfRule type="duplicateValues" dxfId="62" priority="83"/>
  </conditionalFormatting>
  <conditionalFormatting sqref="A42">
    <cfRule type="duplicateValues" dxfId="61" priority="82"/>
  </conditionalFormatting>
  <conditionalFormatting sqref="A43">
    <cfRule type="duplicateValues" dxfId="60" priority="81"/>
  </conditionalFormatting>
  <conditionalFormatting sqref="A45:A100">
    <cfRule type="duplicateValues" dxfId="59" priority="76"/>
    <cfRule type="duplicateValues" dxfId="58" priority="77"/>
    <cfRule type="duplicateValues" dxfId="57" priority="78"/>
    <cfRule type="duplicateValues" dxfId="56" priority="79"/>
  </conditionalFormatting>
  <conditionalFormatting sqref="A102:A132">
    <cfRule type="duplicateValues" dxfId="55" priority="72"/>
    <cfRule type="duplicateValues" dxfId="54" priority="73"/>
  </conditionalFormatting>
  <conditionalFormatting sqref="A102:A136">
    <cfRule type="duplicateValues" dxfId="53" priority="71"/>
  </conditionalFormatting>
  <conditionalFormatting sqref="A109">
    <cfRule type="duplicateValues" dxfId="52" priority="70"/>
  </conditionalFormatting>
  <conditionalFormatting sqref="A110:A132 A102:A108">
    <cfRule type="duplicateValues" dxfId="51" priority="74"/>
  </conditionalFormatting>
  <conditionalFormatting sqref="A131">
    <cfRule type="duplicateValues" dxfId="50" priority="69"/>
  </conditionalFormatting>
  <conditionalFormatting sqref="A133:A134">
    <cfRule type="duplicateValues" dxfId="49" priority="67"/>
    <cfRule type="duplicateValues" dxfId="48" priority="68"/>
  </conditionalFormatting>
  <conditionalFormatting sqref="A135:A136">
    <cfRule type="duplicateValues" dxfId="47" priority="65"/>
    <cfRule type="duplicateValues" dxfId="46" priority="66"/>
  </conditionalFormatting>
  <conditionalFormatting sqref="A138:A165">
    <cfRule type="duplicateValues" dxfId="45" priority="62"/>
    <cfRule type="duplicateValues" dxfId="44" priority="63"/>
  </conditionalFormatting>
  <conditionalFormatting sqref="A138:A166">
    <cfRule type="duplicateValues" dxfId="43" priority="61"/>
  </conditionalFormatting>
  <conditionalFormatting sqref="A138:A168">
    <cfRule type="duplicateValues" dxfId="42" priority="60"/>
  </conditionalFormatting>
  <conditionalFormatting sqref="A161">
    <cfRule type="duplicateValues" dxfId="41" priority="59"/>
  </conditionalFormatting>
  <conditionalFormatting sqref="A166">
    <cfRule type="duplicateValues" dxfId="40" priority="58"/>
  </conditionalFormatting>
  <conditionalFormatting sqref="A167:A168">
    <cfRule type="duplicateValues" dxfId="39" priority="56"/>
    <cfRule type="duplicateValues" dxfId="38" priority="57"/>
  </conditionalFormatting>
  <conditionalFormatting sqref="A170:A173">
    <cfRule type="duplicateValues" dxfId="37" priority="52"/>
    <cfRule type="duplicateValues" dxfId="36" priority="53"/>
  </conditionalFormatting>
  <conditionalFormatting sqref="A170:A174">
    <cfRule type="duplicateValues" dxfId="35" priority="50"/>
    <cfRule type="duplicateValues" dxfId="34" priority="51"/>
  </conditionalFormatting>
  <conditionalFormatting sqref="A174">
    <cfRule type="duplicateValues" dxfId="33" priority="48"/>
    <cfRule type="duplicateValues" dxfId="32" priority="49"/>
  </conditionalFormatting>
  <conditionalFormatting sqref="A176:A179">
    <cfRule type="duplicateValues" dxfId="31" priority="43"/>
    <cfRule type="duplicateValues" dxfId="30" priority="44"/>
    <cfRule type="duplicateValues" dxfId="29" priority="45"/>
    <cfRule type="duplicateValues" dxfId="28" priority="46"/>
  </conditionalFormatting>
  <conditionalFormatting sqref="A181:A183">
    <cfRule type="duplicateValues" dxfId="27" priority="38"/>
    <cfRule type="duplicateValues" dxfId="26" priority="39"/>
    <cfRule type="duplicateValues" dxfId="25" priority="40"/>
    <cfRule type="duplicateValues" dxfId="24" priority="41"/>
  </conditionalFormatting>
  <conditionalFormatting sqref="A185:A209">
    <cfRule type="duplicateValues" dxfId="23" priority="33"/>
    <cfRule type="duplicateValues" dxfId="22" priority="34"/>
    <cfRule type="duplicateValues" dxfId="21" priority="35"/>
    <cfRule type="duplicateValues" dxfId="20" priority="36"/>
  </conditionalFormatting>
  <conditionalFormatting sqref="A211:A214">
    <cfRule type="duplicateValues" dxfId="19" priority="28"/>
    <cfRule type="duplicateValues" dxfId="18" priority="29"/>
    <cfRule type="duplicateValues" dxfId="17" priority="30"/>
    <cfRule type="duplicateValues" dxfId="16" priority="31"/>
  </conditionalFormatting>
  <conditionalFormatting sqref="A216:A217">
    <cfRule type="duplicateValues" dxfId="15" priority="24"/>
  </conditionalFormatting>
  <conditionalFormatting sqref="A216:A218">
    <cfRule type="duplicateValues" dxfId="14" priority="25"/>
    <cfRule type="duplicateValues" dxfId="13" priority="26"/>
  </conditionalFormatting>
  <conditionalFormatting sqref="A218">
    <cfRule type="duplicateValues" dxfId="12" priority="22"/>
    <cfRule type="duplicateValues" dxfId="11" priority="23"/>
  </conditionalFormatting>
  <conditionalFormatting sqref="A220:A222">
    <cfRule type="duplicateValues" dxfId="10" priority="18"/>
    <cfRule type="duplicateValues" dxfId="9" priority="19"/>
    <cfRule type="duplicateValues" dxfId="8" priority="20"/>
  </conditionalFormatting>
  <conditionalFormatting sqref="A220:A224">
    <cfRule type="duplicateValues" dxfId="7" priority="17"/>
  </conditionalFormatting>
  <conditionalFormatting sqref="A223:A224">
    <cfRule type="duplicateValues" dxfId="6" priority="16"/>
  </conditionalFormatting>
  <conditionalFormatting sqref="A225">
    <cfRule type="duplicateValues" dxfId="5" priority="14"/>
    <cfRule type="duplicateValues" dxfId="4" priority="15"/>
  </conditionalFormatting>
  <conditionalFormatting sqref="E45:E100 E102:E136 E138:E168 E176:E179 E181:E183 E185:E209 E211:E214 E216:E218 E220:E225 E170:E174">
    <cfRule type="cellIs" dxfId="3" priority="88" operator="lessThan">
      <formula>0</formula>
    </cfRule>
  </conditionalFormatting>
  <conditionalFormatting sqref="E2:E43">
    <cfRule type="cellIs" dxfId="2" priority="11" operator="lessThan">
      <formula>0</formula>
    </cfRule>
  </conditionalFormatting>
  <conditionalFormatting sqref="F1:G1">
    <cfRule type="cellIs" dxfId="1" priority="13" operator="lessThan">
      <formula>0</formula>
    </cfRule>
  </conditionalFormatting>
  <conditionalFormatting sqref="E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Prod.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MEETALI CHANDAK</cp:lastModifiedBy>
  <dcterms:created xsi:type="dcterms:W3CDTF">2015-06-05T18:17:20Z</dcterms:created>
  <dcterms:modified xsi:type="dcterms:W3CDTF">2026-09-08T07:33:31Z</dcterms:modified>
</cp:coreProperties>
</file>
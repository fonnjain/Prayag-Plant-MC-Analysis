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(D) Summary" sheetId="1" state="visible" r:id="rId3"/>
    <sheet name="CPVC" sheetId="2" state="visible" r:id="rId4"/>
    <sheet name="UPVC" sheetId="3" state="visible" r:id="rId5"/>
    <sheet name="SWR" sheetId="4" state="visible" r:id="rId6"/>
    <sheet name="AGR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<sst xmlns="http://schemas.openxmlformats.org/spreadsheetml/2006/main" count="346" uniqueCount="289">
  <si>
    <t xml:space="preserve">(D)  PIPE MOULDS SUMMARY — JUNE 2026</t>
  </si>
  <si>
    <t xml:space="preserve">Prayag — Kehrani (KH) plant  |  Injection-moulding, mould-wise view  |  Output in KG</t>
  </si>
  <si>
    <t xml:space="preserve">Material</t>
  </si>
  <si>
    <t xml:space="preserve">Moulds Listed</t>
  </si>
  <si>
    <t xml:space="preserve">Moulds Run</t>
  </si>
  <si>
    <t xml:space="preserve">Production (Pcs)</t>
  </si>
  <si>
    <t xml:space="preserve">Production (KG)</t>
  </si>
  <si>
    <t xml:space="preserve">Mould Utilisation (Hrs)</t>
  </si>
  <si>
    <t xml:space="preserve">Avg KG / Mould Run</t>
  </si>
  <si>
    <t xml:space="preserve">Share of KG</t>
  </si>
  <si>
    <t xml:space="preserve">CPVC</t>
  </si>
  <si>
    <t xml:space="preserve">UPVC</t>
  </si>
  <si>
    <t xml:space="preserve">SWR</t>
  </si>
  <si>
    <t xml:space="preserve">AGRI</t>
  </si>
  <si>
    <t xml:space="preserve">TOTAL</t>
  </si>
  <si>
    <t xml:space="preserve">Notes &amp; data provenance</t>
  </si>
  <si>
    <t xml:space="preserve">•  Source: mould-wise working reports (Report-17 CPVC / 18 UPVC / 19 SWR / 20 AGRI) inside the June'26 Pipe &amp; Fitting workbook.</t>
  </si>
  <si>
    <t xml:space="preserve">•  Those tabs carry a stale 'APRIL'26' header row; the figures are June 2026. Confirmed by tie-out below.</t>
  </si>
  <si>
    <t xml:space="preserve">•  Reconciliation: mould-wise total = 89,152 KG vs machine-wise Report-12 (June) = 89,100 KG — a 0.06% difference. Grand totals tie; per-material splits differ by design (Report-12 tags by item material and carries small PP/PPR/ABS lines; mould reports tag by mould family).</t>
  </si>
  <si>
    <t xml:space="preserve">•  'Moulds Listed' = mould codes present in the source tab; 'Moulds Run' = moulds with production &gt; 0 (matches the (D) final report's 'No. of Mould Run': 67/85/47/31).</t>
  </si>
  <si>
    <t xml:space="preserve">•  Every figure recomputed from source cells; no value copied from the final/summary report. All totals are live Excel formulas.</t>
  </si>
  <si>
    <t xml:space="preserve">(D) Pipe Moulds Summary — CPVC Mould Working Report  |  June 2026</t>
  </si>
  <si>
    <t xml:space="preserve">Source: Report-17 (mould-wise), Jun'26 workbook. Tab header reads 'APRIL'26' (stale); data validated as June — see Summary notes.</t>
  </si>
  <si>
    <t xml:space="preserve">S.No.</t>
  </si>
  <si>
    <t xml:space="preserve">Mould Code</t>
  </si>
  <si>
    <t xml:space="preserve">Mould Cavity</t>
  </si>
  <si>
    <t xml:space="preserve">Cycle Time / Pc</t>
  </si>
  <si>
    <t xml:space="preserve">PC Weight (g)</t>
  </si>
  <si>
    <t xml:space="preserve">Runner Weight (g)</t>
  </si>
  <si>
    <t xml:space="preserve">Wt. of Total Prod. (KG)</t>
  </si>
  <si>
    <t xml:space="preserve">33000778</t>
  </si>
  <si>
    <t xml:space="preserve">C62</t>
  </si>
  <si>
    <t xml:space="preserve">C532</t>
  </si>
  <si>
    <t xml:space="preserve">C12</t>
  </si>
  <si>
    <t xml:space="preserve">C521</t>
  </si>
  <si>
    <t xml:space="preserve">PP1</t>
  </si>
  <si>
    <t xml:space="preserve">C65</t>
  </si>
  <si>
    <t xml:space="preserve">C92</t>
  </si>
  <si>
    <t xml:space="preserve">C272CN</t>
  </si>
  <si>
    <t xml:space="preserve">C23BD</t>
  </si>
  <si>
    <t xml:space="preserve">C504</t>
  </si>
  <si>
    <t xml:space="preserve">C273TCN</t>
  </si>
  <si>
    <t xml:space="preserve">C274TCN</t>
  </si>
  <si>
    <t xml:space="preserve">C503</t>
  </si>
  <si>
    <t xml:space="preserve">C105</t>
  </si>
  <si>
    <t xml:space="preserve">C23TR</t>
  </si>
  <si>
    <t xml:space="preserve">C53</t>
  </si>
  <si>
    <t xml:space="preserve">C506</t>
  </si>
  <si>
    <t xml:space="preserve">C853</t>
  </si>
  <si>
    <t xml:space="preserve">C854</t>
  </si>
  <si>
    <t xml:space="preserve">C25BD</t>
  </si>
  <si>
    <t xml:space="preserve">C272TCN</t>
  </si>
  <si>
    <t xml:space="preserve">C45</t>
  </si>
  <si>
    <t xml:space="preserve">C832</t>
  </si>
  <si>
    <t xml:space="preserve">C71</t>
  </si>
  <si>
    <t xml:space="preserve">C34F</t>
  </si>
  <si>
    <t xml:space="preserve">C72</t>
  </si>
  <si>
    <t xml:space="preserve">C34M</t>
  </si>
  <si>
    <t xml:space="preserve">C603</t>
  </si>
  <si>
    <t xml:space="preserve">C52</t>
  </si>
  <si>
    <t xml:space="preserve">C25TR</t>
  </si>
  <si>
    <t xml:space="preserve">C26TR</t>
  </si>
  <si>
    <t xml:space="preserve">C103</t>
  </si>
  <si>
    <t xml:space="preserve">C64</t>
  </si>
  <si>
    <t xml:space="preserve">C920</t>
  </si>
  <si>
    <t xml:space="preserve">C24ST</t>
  </si>
  <si>
    <t xml:space="preserve">C33P</t>
  </si>
  <si>
    <t xml:space="preserve">C942</t>
  </si>
  <si>
    <t xml:space="preserve">C23ST</t>
  </si>
  <si>
    <t xml:space="preserve">C33M</t>
  </si>
  <si>
    <t xml:space="preserve">C63</t>
  </si>
  <si>
    <t xml:space="preserve">C33F</t>
  </si>
  <si>
    <t xml:space="preserve">C930</t>
  </si>
  <si>
    <t xml:space="preserve">PC3</t>
  </si>
  <si>
    <t xml:space="preserve">C46</t>
  </si>
  <si>
    <t xml:space="preserve">C702</t>
  </si>
  <si>
    <t xml:space="preserve">C322</t>
  </si>
  <si>
    <t xml:space="preserve">C25LH</t>
  </si>
  <si>
    <t xml:space="preserve">C26LH</t>
  </si>
  <si>
    <t xml:space="preserve">C523</t>
  </si>
  <si>
    <t xml:space="preserve">C23H</t>
  </si>
  <si>
    <t xml:space="preserve">C44</t>
  </si>
  <si>
    <t xml:space="preserve">C24BA</t>
  </si>
  <si>
    <t xml:space="preserve">C93</t>
  </si>
  <si>
    <t xml:space="preserve">C42</t>
  </si>
  <si>
    <t xml:space="preserve">C25BA</t>
  </si>
  <si>
    <t xml:space="preserve">C95</t>
  </si>
  <si>
    <t xml:space="preserve">C921</t>
  </si>
  <si>
    <t xml:space="preserve">C273CN</t>
  </si>
  <si>
    <t xml:space="preserve">C23LH</t>
  </si>
  <si>
    <t xml:space="preserve">C43</t>
  </si>
  <si>
    <t xml:space="preserve">C94</t>
  </si>
  <si>
    <t xml:space="preserve">C23EP</t>
  </si>
  <si>
    <t xml:space="preserve">C22BD</t>
  </si>
  <si>
    <t xml:space="preserve">C22LH</t>
  </si>
  <si>
    <t xml:space="preserve">C333</t>
  </si>
  <si>
    <t xml:space="preserve">C22ST</t>
  </si>
  <si>
    <t xml:space="preserve">U11</t>
  </si>
  <si>
    <t xml:space="preserve">CM21S</t>
  </si>
  <si>
    <t xml:space="preserve">C66</t>
  </si>
  <si>
    <t xml:space="preserve">C605</t>
  </si>
  <si>
    <t xml:space="preserve">C32P</t>
  </si>
  <si>
    <t xml:space="preserve">C22TR</t>
  </si>
  <si>
    <t xml:space="preserve">C96</t>
  </si>
  <si>
    <t xml:space="preserve">(D) Pipe Moulds Summary — UPVC Mould Working Report  |  June 2026</t>
  </si>
  <si>
    <t xml:space="preserve">Source: Report-18 (mould-wise), Jun'26 workbook. Tab header reads 'APRIL'26' (stale); data validated as June — see Summary notes.</t>
  </si>
  <si>
    <t xml:space="preserve">U531</t>
  </si>
  <si>
    <t xml:space="preserve">U602</t>
  </si>
  <si>
    <t xml:space="preserve">U54</t>
  </si>
  <si>
    <t xml:space="preserve">U43</t>
  </si>
  <si>
    <t xml:space="preserve">U63</t>
  </si>
  <si>
    <t xml:space="preserve">U33M</t>
  </si>
  <si>
    <t xml:space="preserve">U14</t>
  </si>
  <si>
    <t xml:space="preserve">U55</t>
  </si>
  <si>
    <t xml:space="preserve">U71</t>
  </si>
  <si>
    <t xml:space="preserve">U81</t>
  </si>
  <si>
    <t xml:space="preserve">U74</t>
  </si>
  <si>
    <t xml:space="preserve">U821</t>
  </si>
  <si>
    <t xml:space="preserve">U920</t>
  </si>
  <si>
    <t xml:space="preserve">U930</t>
  </si>
  <si>
    <t xml:space="preserve">U15</t>
  </si>
  <si>
    <t xml:space="preserve">U68</t>
  </si>
  <si>
    <t xml:space="preserve">U51</t>
  </si>
  <si>
    <t xml:space="preserve">U273TCN</t>
  </si>
  <si>
    <t xml:space="preserve">U274TCN</t>
  </si>
  <si>
    <t xml:space="preserve">U273CN</t>
  </si>
  <si>
    <t xml:space="preserve">U53</t>
  </si>
  <si>
    <t xml:space="preserve">U502</t>
  </si>
  <si>
    <t xml:space="preserve">U274CN</t>
  </si>
  <si>
    <t xml:space="preserve">U103</t>
  </si>
  <si>
    <t xml:space="preserve">U73</t>
  </si>
  <si>
    <t xml:space="preserve">U44</t>
  </si>
  <si>
    <t xml:space="preserve">U64</t>
  </si>
  <si>
    <t xml:space="preserve">U323</t>
  </si>
  <si>
    <t xml:space="preserve">U95</t>
  </si>
  <si>
    <t xml:space="preserve">U65</t>
  </si>
  <si>
    <t xml:space="preserve">U521</t>
  </si>
  <si>
    <t xml:space="preserve">U85</t>
  </si>
  <si>
    <t xml:space="preserve">U72</t>
  </si>
  <si>
    <t xml:space="preserve">U62</t>
  </si>
  <si>
    <t xml:space="preserve">U23BD</t>
  </si>
  <si>
    <t xml:space="preserve">U93</t>
  </si>
  <si>
    <t xml:space="preserve">U943</t>
  </si>
  <si>
    <t xml:space="preserve">U232</t>
  </si>
  <si>
    <t xml:space="preserve">U33P</t>
  </si>
  <si>
    <t xml:space="preserve">U52</t>
  </si>
  <si>
    <t xml:space="preserve">U242</t>
  </si>
  <si>
    <t xml:space="preserve">U322</t>
  </si>
  <si>
    <t xml:space="preserve">U76</t>
  </si>
  <si>
    <t xml:space="preserve">U731</t>
  </si>
  <si>
    <t xml:space="preserve">U931</t>
  </si>
  <si>
    <t xml:space="preserve">U526</t>
  </si>
  <si>
    <t xml:space="preserve">U321</t>
  </si>
  <si>
    <t xml:space="preserve">U33F</t>
  </si>
  <si>
    <t xml:space="preserve">U863</t>
  </si>
  <si>
    <t xml:space="preserve">U106</t>
  </si>
  <si>
    <t xml:space="preserve">U231</t>
  </si>
  <si>
    <t xml:space="preserve">U253</t>
  </si>
  <si>
    <t xml:space="preserve">U503</t>
  </si>
  <si>
    <t xml:space="preserve">U523</t>
  </si>
  <si>
    <t xml:space="preserve">U527</t>
  </si>
  <si>
    <t xml:space="preserve">U22BD</t>
  </si>
  <si>
    <t xml:space="preserve">U832</t>
  </si>
  <si>
    <t xml:space="preserve">U953</t>
  </si>
  <si>
    <t xml:space="preserve">U604</t>
  </si>
  <si>
    <t xml:space="preserve">U34P</t>
  </si>
  <si>
    <t xml:space="preserve">U505</t>
  </si>
  <si>
    <t xml:space="preserve">U275CN</t>
  </si>
  <si>
    <t xml:space="preserve">U22EP</t>
  </si>
  <si>
    <t xml:space="preserve">U24BD</t>
  </si>
  <si>
    <t xml:space="preserve">U272CN</t>
  </si>
  <si>
    <t xml:space="preserve">U34F</t>
  </si>
  <si>
    <t xml:space="preserve">U94</t>
  </si>
  <si>
    <t xml:space="preserve">U535</t>
  </si>
  <si>
    <t xml:space="preserve">U24EP</t>
  </si>
  <si>
    <t xml:space="preserve">U34M</t>
  </si>
  <si>
    <t xml:space="preserve">U865</t>
  </si>
  <si>
    <t xml:space="preserve">U843</t>
  </si>
  <si>
    <t xml:space="preserve">U75</t>
  </si>
  <si>
    <t xml:space="preserve">U272TCN</t>
  </si>
  <si>
    <t xml:space="preserve">U853</t>
  </si>
  <si>
    <t xml:space="preserve">U42</t>
  </si>
  <si>
    <t xml:space="preserve">U265</t>
  </si>
  <si>
    <t xml:space="preserve">U56</t>
  </si>
  <si>
    <t xml:space="preserve">U25BD</t>
  </si>
  <si>
    <t xml:space="preserve">U275TCN</t>
  </si>
  <si>
    <t xml:space="preserve">U854</t>
  </si>
  <si>
    <t xml:space="preserve">U23EP</t>
  </si>
  <si>
    <t xml:space="preserve">U25EP</t>
  </si>
  <si>
    <t xml:space="preserve">U12</t>
  </si>
  <si>
    <t xml:space="preserve">U251</t>
  </si>
  <si>
    <t xml:space="preserve">U275TC</t>
  </si>
  <si>
    <t xml:space="preserve">U504</t>
  </si>
  <si>
    <t xml:space="preserve">U45</t>
  </si>
  <si>
    <t xml:space="preserve">U46</t>
  </si>
  <si>
    <t xml:space="preserve">U91</t>
  </si>
  <si>
    <t xml:space="preserve">U921</t>
  </si>
  <si>
    <t xml:space="preserve">U41</t>
  </si>
  <si>
    <t xml:space="preserve">(D) Pipe Moulds Summary — SWR Mould Working Report  |  June 2026</t>
  </si>
  <si>
    <t xml:space="preserve">Source: Report-19 (mould-wise), Jun'26 workbook. Tab header reads 'APRIL'26' (stale); data validated as June — see Summary notes.</t>
  </si>
  <si>
    <t xml:space="preserve">5762</t>
  </si>
  <si>
    <t xml:space="preserve">5710S</t>
  </si>
  <si>
    <t xml:space="preserve">90000016</t>
  </si>
  <si>
    <t xml:space="preserve">5121</t>
  </si>
  <si>
    <t xml:space="preserve">5110</t>
  </si>
  <si>
    <t xml:space="preserve">5733</t>
  </si>
  <si>
    <t xml:space="preserve">5111</t>
  </si>
  <si>
    <t xml:space="preserve">5133</t>
  </si>
  <si>
    <t xml:space="preserve">5763W</t>
  </si>
  <si>
    <t xml:space="preserve">5157</t>
  </si>
  <si>
    <t xml:space="preserve">5792S</t>
  </si>
  <si>
    <t xml:space="preserve">5712</t>
  </si>
  <si>
    <t xml:space="preserve">5112S</t>
  </si>
  <si>
    <t xml:space="preserve">5142S</t>
  </si>
  <si>
    <t xml:space="preserve">5710</t>
  </si>
  <si>
    <t xml:space="preserve">5112</t>
  </si>
  <si>
    <t xml:space="preserve">5164</t>
  </si>
  <si>
    <t xml:space="preserve">5912S</t>
  </si>
  <si>
    <t xml:space="preserve">5711S</t>
  </si>
  <si>
    <t xml:space="preserve">5111S</t>
  </si>
  <si>
    <t xml:space="preserve">5133S</t>
  </si>
  <si>
    <t xml:space="preserve">5141S</t>
  </si>
  <si>
    <t xml:space="preserve">5721S</t>
  </si>
  <si>
    <t xml:space="preserve">5933</t>
  </si>
  <si>
    <t xml:space="preserve">5664</t>
  </si>
  <si>
    <t xml:space="preserve">5911</t>
  </si>
  <si>
    <t xml:space="preserve">5612S</t>
  </si>
  <si>
    <t xml:space="preserve">5634S</t>
  </si>
  <si>
    <t xml:space="preserve">5761</t>
  </si>
  <si>
    <t xml:space="preserve">5911S</t>
  </si>
  <si>
    <t xml:space="preserve">5110S</t>
  </si>
  <si>
    <t xml:space="preserve">5742S</t>
  </si>
  <si>
    <t xml:space="preserve">90000017</t>
  </si>
  <si>
    <t xml:space="preserve">5734S</t>
  </si>
  <si>
    <t xml:space="preserve">5612</t>
  </si>
  <si>
    <t xml:space="preserve">5712S</t>
  </si>
  <si>
    <t xml:space="preserve">5651</t>
  </si>
  <si>
    <t xml:space="preserve">90000011</t>
  </si>
  <si>
    <t xml:space="preserve">5711</t>
  </si>
  <si>
    <t xml:space="preserve">5792CO</t>
  </si>
  <si>
    <t xml:space="preserve">5764</t>
  </si>
  <si>
    <t xml:space="preserve">5792B</t>
  </si>
  <si>
    <t xml:space="preserve">5131</t>
  </si>
  <si>
    <t xml:space="preserve">5633</t>
  </si>
  <si>
    <t xml:space="preserve">5151</t>
  </si>
  <si>
    <t xml:space="preserve">5611</t>
  </si>
  <si>
    <t xml:space="preserve">5910S</t>
  </si>
  <si>
    <t xml:space="preserve">5134</t>
  </si>
  <si>
    <t xml:space="preserve">(D) Pipe Moulds Summary — AGRI Mould Working Report  |  June 2026</t>
  </si>
  <si>
    <t xml:space="preserve">Source: Report-20 (mould-wise), Jun'26 workbook. Tab header reads 'APRIL'26' (stale); data validated as June — see Summary notes.</t>
  </si>
  <si>
    <t xml:space="preserve">AS449</t>
  </si>
  <si>
    <t xml:space="preserve">A449</t>
  </si>
  <si>
    <t xml:space="preserve">AS249</t>
  </si>
  <si>
    <t xml:space="preserve">A549</t>
  </si>
  <si>
    <t xml:space="preserve">A369</t>
  </si>
  <si>
    <t xml:space="preserve">A269</t>
  </si>
  <si>
    <t xml:space="preserve">A565</t>
  </si>
  <si>
    <t xml:space="preserve">A464</t>
  </si>
  <si>
    <t xml:space="preserve">A547</t>
  </si>
  <si>
    <t xml:space="preserve">A465</t>
  </si>
  <si>
    <t xml:space="preserve">A469</t>
  </si>
  <si>
    <t xml:space="preserve">A346</t>
  </si>
  <si>
    <t xml:space="preserve">A467</t>
  </si>
  <si>
    <t xml:space="preserve">A348</t>
  </si>
  <si>
    <t xml:space="preserve">A447</t>
  </si>
  <si>
    <t xml:space="preserve">A542</t>
  </si>
  <si>
    <t xml:space="preserve">A428</t>
  </si>
  <si>
    <t xml:space="preserve">A503</t>
  </si>
  <si>
    <t xml:space="preserve">A271</t>
  </si>
  <si>
    <t xml:space="preserve">A761</t>
  </si>
  <si>
    <t xml:space="preserve">A765</t>
  </si>
  <si>
    <t xml:space="preserve">A665</t>
  </si>
  <si>
    <t xml:space="preserve">AS428</t>
  </si>
  <si>
    <t xml:space="preserve">AS349</t>
  </si>
  <si>
    <t xml:space="preserve">A672</t>
  </si>
  <si>
    <t xml:space="preserve">A349</t>
  </si>
  <si>
    <t xml:space="preserve">AS329</t>
  </si>
  <si>
    <t xml:space="preserve">A248</t>
  </si>
  <si>
    <t xml:space="preserve">A714</t>
  </si>
  <si>
    <t xml:space="preserve">A717</t>
  </si>
  <si>
    <t xml:space="preserve">A719</t>
  </si>
  <si>
    <t xml:space="preserve">A718</t>
  </si>
  <si>
    <t xml:space="preserve">AS348</t>
  </si>
  <si>
    <t xml:space="preserve">A212</t>
  </si>
  <si>
    <t xml:space="preserve">A504</t>
  </si>
  <si>
    <t xml:space="preserve">A364</t>
  </si>
  <si>
    <t xml:space="preserve">A213</t>
  </si>
  <si>
    <t xml:space="preserve">A767</t>
  </si>
  <si>
    <t xml:space="preserve">A666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</si>
</sst>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.00;\(#,##0.00\);\-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f aca="false">COUNTA(CPVC!B5:B84)</f>
        <v>80</v>
      </c>
      <c r="C5" s="5" t="n">
        <f aca="false">COUNTIF(CPVC!G5:G84,"&gt;0")</f>
        <v>67</v>
      </c>
      <c r="D5" s="5" t="n">
        <f aca="false">CPVC!G85</f>
        <v>716595</v>
      </c>
      <c r="E5" s="6" t="n">
        <f aca="false">CPVC!H85</f>
        <v>19591.32</v>
      </c>
      <c r="F5" s="6" t="n">
        <f aca="false">CPVC!J85</f>
        <v>2390.7</v>
      </c>
      <c r="G5" s="6" t="n">
        <f aca="false">IFERROR(E5/C5,0)</f>
        <v>292.40776119403</v>
      </c>
      <c r="H5" s="7" t="n">
        <f aca="false">IFERROR(E5/$E$9,0)</f>
        <v>0.219752525301245</v>
      </c>
    </row>
    <row r="6" customFormat="false" ht="15" hidden="false" customHeight="false" outlineLevel="0" collapsed="false">
      <c r="A6" s="4" t="s">
        <v>11</v>
      </c>
      <c r="B6" s="5" t="n">
        <f aca="false">COUNTA(UPVC!B5:B105)</f>
        <v>101</v>
      </c>
      <c r="C6" s="5" t="n">
        <f aca="false">COUNTIF(UPVC!G5:G105,"&gt;0")</f>
        <v>85</v>
      </c>
      <c r="D6" s="5" t="n">
        <f aca="false">UPVC!G106</f>
        <v>454396</v>
      </c>
      <c r="E6" s="6" t="n">
        <f aca="false">UPVC!H106</f>
        <v>27796.29</v>
      </c>
      <c r="F6" s="6" t="n">
        <f aca="false">UPVC!J106</f>
        <v>2749.99</v>
      </c>
      <c r="G6" s="6" t="n">
        <f aca="false">IFERROR(E6/C6,0)</f>
        <v>327.015176470588</v>
      </c>
      <c r="H6" s="7" t="n">
        <f aca="false">IFERROR(E6/$E$9,0)</f>
        <v>0.311786287065177</v>
      </c>
    </row>
    <row r="7" customFormat="false" ht="15" hidden="false" customHeight="false" outlineLevel="0" collapsed="false">
      <c r="A7" s="4" t="s">
        <v>12</v>
      </c>
      <c r="B7" s="5" t="n">
        <f aca="false">COUNTA(SWR!B5:B52)</f>
        <v>48</v>
      </c>
      <c r="C7" s="5" t="n">
        <f aca="false">COUNTIF(SWR!G5:G52,"&gt;0")</f>
        <v>47</v>
      </c>
      <c r="D7" s="5" t="n">
        <f aca="false">SWR!G53</f>
        <v>129531</v>
      </c>
      <c r="E7" s="6" t="n">
        <f aca="false">SWR!H53</f>
        <v>33177.94</v>
      </c>
      <c r="F7" s="6" t="n">
        <f aca="false">SWR!J53</f>
        <v>2954.86</v>
      </c>
      <c r="G7" s="6" t="n">
        <f aca="false">IFERROR(E7/C7,0)</f>
        <v>705.913617021277</v>
      </c>
      <c r="H7" s="7" t="n">
        <f aca="false">IFERROR(E7/$E$9,0)</f>
        <v>0.372151345559829</v>
      </c>
    </row>
    <row r="8" customFormat="false" ht="15" hidden="false" customHeight="false" outlineLevel="0" collapsed="false">
      <c r="A8" s="4" t="s">
        <v>13</v>
      </c>
      <c r="B8" s="5" t="n">
        <f aca="false">COUNTA(AGRI!B5:B48)</f>
        <v>44</v>
      </c>
      <c r="C8" s="5" t="n">
        <f aca="false">COUNTIF(AGRI!G5:G48,"&gt;0")</f>
        <v>31</v>
      </c>
      <c r="D8" s="5" t="n">
        <f aca="false">AGRI!G49</f>
        <v>39595</v>
      </c>
      <c r="E8" s="6" t="n">
        <f aca="false">AGRI!H49</f>
        <v>8586.19</v>
      </c>
      <c r="F8" s="6" t="n">
        <f aca="false">AGRI!J49</f>
        <v>672.93</v>
      </c>
      <c r="G8" s="6" t="n">
        <f aca="false">IFERROR(E8/C8,0)</f>
        <v>276.973870967742</v>
      </c>
      <c r="H8" s="7" t="n">
        <f aca="false">IFERROR(E8/$E$9,0)</f>
        <v>0.0963098420737498</v>
      </c>
    </row>
    <row r="9" customFormat="false" ht="15" hidden="false" customHeight="false" outlineLevel="0" collapsed="false">
      <c r="A9" s="8" t="s">
        <v>14</v>
      </c>
      <c r="B9" s="9" t="n">
        <f aca="false">SUM(B5:B8)</f>
        <v>273</v>
      </c>
      <c r="C9" s="9" t="n">
        <f aca="false">SUM(C5:C8)</f>
        <v>230</v>
      </c>
      <c r="D9" s="9" t="n">
        <f aca="false">SUM(D5:D8)</f>
        <v>1340117</v>
      </c>
      <c r="E9" s="10" t="n">
        <f aca="false">SUM(E5:E8)</f>
        <v>89151.74</v>
      </c>
      <c r="F9" s="10" t="n">
        <f aca="false">SUM(F5:F8)</f>
        <v>8768.48</v>
      </c>
      <c r="G9" s="10" t="n">
        <f aca="false">IFERROR(E9/C9,0)</f>
        <v>387.616260869565</v>
      </c>
      <c r="H9" s="11" t="n">
        <f aca="false">IFERROR(E9/$E$9,0)</f>
        <v>1</v>
      </c>
    </row>
    <row r="12" customFormat="false" ht="15" hidden="false" customHeight="true" outlineLevel="0" collapsed="false">
      <c r="A12" s="12" t="s">
        <v>15</v>
      </c>
      <c r="B12" s="12"/>
      <c r="C12" s="12"/>
      <c r="D12" s="12"/>
      <c r="E12" s="12"/>
      <c r="F12" s="12"/>
      <c r="G12" s="12"/>
      <c r="H12" s="12"/>
    </row>
    <row r="13" customFormat="false" ht="15" hidden="false" customHeight="true" outlineLevel="0" collapsed="false">
      <c r="A13" s="13" t="s">
        <v>16</v>
      </c>
      <c r="B13" s="13"/>
      <c r="C13" s="13"/>
      <c r="D13" s="13"/>
      <c r="E13" s="13"/>
      <c r="F13" s="13"/>
      <c r="G13" s="13"/>
      <c r="H13" s="13"/>
    </row>
    <row r="14" customFormat="false" ht="15" hidden="false" customHeight="true" outlineLevel="0" collapsed="false">
      <c r="A14" s="13" t="s">
        <v>17</v>
      </c>
      <c r="B14" s="13"/>
      <c r="C14" s="13"/>
      <c r="D14" s="13"/>
      <c r="E14" s="13"/>
      <c r="F14" s="13"/>
      <c r="G14" s="13"/>
      <c r="H14" s="13"/>
    </row>
    <row r="15" customFormat="false" ht="22.35" hidden="false" customHeight="true" outlineLevel="0" collapsed="false">
      <c r="A15" s="13" t="s">
        <v>18</v>
      </c>
      <c r="B15" s="13"/>
      <c r="C15" s="13"/>
      <c r="D15" s="13"/>
      <c r="E15" s="13"/>
      <c r="F15" s="13"/>
      <c r="G15" s="13"/>
      <c r="H15" s="13"/>
    </row>
    <row r="16" customFormat="false" ht="22.35" hidden="false" customHeight="true" outlineLevel="0" collapsed="false">
      <c r="A16" s="13" t="s">
        <v>19</v>
      </c>
      <c r="B16" s="13"/>
      <c r="C16" s="13"/>
      <c r="D16" s="13"/>
      <c r="E16" s="13"/>
      <c r="F16" s="13"/>
      <c r="G16" s="13"/>
      <c r="H16" s="13"/>
    </row>
    <row r="17" customFormat="false" ht="15" hidden="false" customHeight="true" outlineLevel="0" collapsed="false">
      <c r="A17" s="13" t="s">
        <v>20</v>
      </c>
      <c r="B17" s="13"/>
      <c r="C17" s="13"/>
      <c r="D17" s="13"/>
      <c r="E17" s="13"/>
      <c r="F17" s="13"/>
      <c r="G17" s="13"/>
      <c r="H17" s="13"/>
    </row>
  </sheetData>
  <mergeCells count="8">
    <mergeCell ref="A1:H1"/>
    <mergeCell ref="A2:H2"/>
    <mergeCell ref="A12:H12"/>
    <mergeCell ref="A13:H13"/>
    <mergeCell ref="A14:H14"/>
    <mergeCell ref="A15:H15"/>
    <mergeCell ref="A16:H16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10" min="9" style="0" width="16"/>
  </cols>
  <sheetData>
    <row r="1" customFormat="false" ht="15" hidden="false" customHeight="false" outlineLevel="0" collapsed="false">
      <c r="A1" s="14" t="s">
        <v>21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15" hidden="false" customHeight="false" outlineLevel="0" collapsed="false">
      <c r="A2" s="15" t="s">
        <v>22</v>
      </c>
      <c r="B2" s="15"/>
      <c r="C2" s="15"/>
      <c r="D2" s="15"/>
      <c r="E2" s="15"/>
      <c r="F2" s="15"/>
      <c r="G2" s="15"/>
      <c r="H2" s="15"/>
      <c r="I2" s="15"/>
      <c r="J2" s="15"/>
    </row>
    <row r="4" customFormat="false" ht="23.85" hidden="false" customHeight="fals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5</v>
      </c>
      <c r="H4" s="3" t="s">
        <v>6</v>
      </c>
      <c r="I4" s="3" t="s">
        <v>29</v>
      </c>
      <c r="J4" s="3" t="s">
        <v>7</v>
      </c>
    </row>
    <row r="5" customFormat="false" ht="15" hidden="false" customHeight="false" outlineLevel="0" collapsed="false">
      <c r="A5" s="16" t="n">
        <v>1</v>
      </c>
      <c r="B5" s="17" t="s">
        <v>30</v>
      </c>
      <c r="C5" s="5" t="n">
        <v>2</v>
      </c>
      <c r="D5" s="5" t="n">
        <v>89</v>
      </c>
      <c r="E5" s="6" t="n">
        <v>66.5</v>
      </c>
      <c r="F5" s="6" t="n">
        <v>16.3</v>
      </c>
      <c r="G5" s="5" t="n">
        <v>870</v>
      </c>
      <c r="H5" s="6" t="n">
        <v>57.86</v>
      </c>
      <c r="I5" s="6" t="n">
        <v>68.3</v>
      </c>
      <c r="J5" s="6" t="n">
        <v>21.51</v>
      </c>
    </row>
    <row r="6" customFormat="false" ht="15" hidden="false" customHeight="false" outlineLevel="0" collapsed="false">
      <c r="A6" s="16" t="n">
        <v>2</v>
      </c>
      <c r="B6" s="17" t="s">
        <v>31</v>
      </c>
      <c r="C6" s="5" t="n">
        <v>16</v>
      </c>
      <c r="D6" s="5" t="n">
        <v>6.6875</v>
      </c>
      <c r="E6" s="6" t="n">
        <v>29</v>
      </c>
      <c r="F6" s="6" t="n">
        <v>10.25</v>
      </c>
      <c r="G6" s="5" t="n">
        <v>50300</v>
      </c>
      <c r="H6" s="6" t="n">
        <v>1458.7</v>
      </c>
      <c r="I6" s="6" t="n">
        <v>1458.7</v>
      </c>
      <c r="J6" s="6" t="n">
        <v>93.44</v>
      </c>
    </row>
    <row r="7" customFormat="false" ht="15" hidden="false" customHeight="false" outlineLevel="0" collapsed="false">
      <c r="A7" s="16" t="n">
        <v>3</v>
      </c>
      <c r="B7" s="17" t="s">
        <v>32</v>
      </c>
      <c r="C7" s="5" t="n">
        <v>6</v>
      </c>
      <c r="D7" s="5" t="n">
        <v>13.33333333</v>
      </c>
      <c r="E7" s="6" t="n">
        <v>30.25</v>
      </c>
      <c r="F7" s="6" t="n">
        <v>10.66666667</v>
      </c>
      <c r="G7" s="5" t="n">
        <v>7500</v>
      </c>
      <c r="H7" s="6" t="n">
        <v>226.88</v>
      </c>
      <c r="I7" s="6" t="n">
        <v>226.88</v>
      </c>
      <c r="J7" s="6" t="n">
        <v>27.78</v>
      </c>
    </row>
    <row r="8" customFormat="false" ht="15" hidden="false" customHeight="false" outlineLevel="0" collapsed="false">
      <c r="A8" s="16" t="n">
        <v>4</v>
      </c>
      <c r="B8" s="17" t="s">
        <v>33</v>
      </c>
      <c r="C8" s="5" t="n">
        <v>2</v>
      </c>
      <c r="D8" s="5" t="n">
        <v>52.5</v>
      </c>
      <c r="E8" s="6" t="n">
        <v>86</v>
      </c>
      <c r="F8" s="6" t="n">
        <v>39.8</v>
      </c>
      <c r="G8" s="5" t="n">
        <v>3440</v>
      </c>
      <c r="H8" s="6" t="n">
        <v>291.71</v>
      </c>
      <c r="I8" s="6" t="n">
        <v>291.71</v>
      </c>
      <c r="J8" s="6" t="n">
        <v>50.17</v>
      </c>
    </row>
    <row r="9" customFormat="false" ht="15" hidden="false" customHeight="false" outlineLevel="0" collapsed="false">
      <c r="A9" s="16" t="n">
        <v>5</v>
      </c>
      <c r="B9" s="17" t="s">
        <v>34</v>
      </c>
      <c r="C9" s="5" t="n">
        <v>8</v>
      </c>
      <c r="D9" s="5" t="n">
        <v>14.625</v>
      </c>
      <c r="E9" s="6" t="n">
        <v>30</v>
      </c>
      <c r="F9" s="6" t="n">
        <v>7.875</v>
      </c>
      <c r="G9" s="5" t="n">
        <v>48550</v>
      </c>
      <c r="H9" s="6" t="n">
        <v>1456.5</v>
      </c>
      <c r="I9" s="6" t="n">
        <v>2378.95</v>
      </c>
      <c r="J9" s="6" t="n">
        <v>197.23</v>
      </c>
    </row>
    <row r="10" customFormat="false" ht="15" hidden="false" customHeight="false" outlineLevel="0" collapsed="false">
      <c r="A10" s="16" t="n">
        <v>6</v>
      </c>
      <c r="B10" s="17" t="s">
        <v>35</v>
      </c>
      <c r="C10" s="5" t="n">
        <v>16</v>
      </c>
      <c r="D10" s="5" t="n">
        <v>7.8125</v>
      </c>
      <c r="E10" s="6" t="n">
        <v>15.35</v>
      </c>
      <c r="F10" s="6" t="n">
        <v>4.625</v>
      </c>
      <c r="G10" s="5" t="n">
        <v>111240</v>
      </c>
      <c r="H10" s="6" t="n">
        <v>1707.53</v>
      </c>
      <c r="I10" s="6" t="n">
        <v>1707.53</v>
      </c>
      <c r="J10" s="6" t="n">
        <v>241.41</v>
      </c>
    </row>
    <row r="11" customFormat="false" ht="15" hidden="false" customHeight="false" outlineLevel="0" collapsed="false">
      <c r="A11" s="16" t="n">
        <v>7</v>
      </c>
      <c r="B11" s="17" t="s">
        <v>36</v>
      </c>
      <c r="C11" s="5" t="n">
        <v>4</v>
      </c>
      <c r="D11" s="5" t="n">
        <v>32.075</v>
      </c>
      <c r="E11" s="6" t="n">
        <v>145.45</v>
      </c>
      <c r="F11" s="6" t="n">
        <v>12.125</v>
      </c>
      <c r="G11" s="5" t="n">
        <v>5450</v>
      </c>
      <c r="H11" s="6" t="n">
        <v>792.7</v>
      </c>
      <c r="I11" s="6" t="n">
        <v>792.7</v>
      </c>
      <c r="J11" s="6" t="n">
        <v>48.56</v>
      </c>
    </row>
    <row r="12" customFormat="false" ht="15" hidden="false" customHeight="false" outlineLevel="0" collapsed="false">
      <c r="A12" s="16" t="n">
        <v>8</v>
      </c>
      <c r="B12" s="17" t="s">
        <v>37</v>
      </c>
      <c r="C12" s="5" t="n">
        <v>4</v>
      </c>
      <c r="D12" s="5" t="n">
        <v>20</v>
      </c>
      <c r="E12" s="6" t="n">
        <v>18.5</v>
      </c>
      <c r="F12" s="6" t="n">
        <v>13.875</v>
      </c>
      <c r="G12" s="5" t="n">
        <v>3850</v>
      </c>
      <c r="H12" s="6" t="n">
        <v>71.23</v>
      </c>
      <c r="I12" s="6" t="n">
        <v>71.23</v>
      </c>
      <c r="J12" s="6" t="n">
        <v>21.39</v>
      </c>
    </row>
    <row r="13" customFormat="false" ht="15" hidden="false" customHeight="false" outlineLevel="0" collapsed="false">
      <c r="A13" s="16" t="n">
        <v>9</v>
      </c>
      <c r="B13" s="17" t="s">
        <v>38</v>
      </c>
      <c r="C13" s="5" t="n">
        <v>4</v>
      </c>
      <c r="D13" s="5" t="n">
        <v>27.25</v>
      </c>
      <c r="E13" s="6" t="n">
        <v>28.75</v>
      </c>
      <c r="F13" s="6" t="n">
        <v>6.5</v>
      </c>
      <c r="G13" s="5" t="n">
        <v>2300</v>
      </c>
      <c r="H13" s="6" t="n">
        <v>66.13</v>
      </c>
      <c r="I13" s="6" t="n">
        <v>66.13</v>
      </c>
      <c r="J13" s="6" t="n">
        <v>17.41</v>
      </c>
    </row>
    <row r="14" customFormat="false" ht="15" hidden="false" customHeight="false" outlineLevel="0" collapsed="false">
      <c r="A14" s="16" t="n">
        <v>10</v>
      </c>
      <c r="B14" s="17" t="s">
        <v>39</v>
      </c>
      <c r="C14" s="5" t="n">
        <v>4</v>
      </c>
      <c r="D14" s="5" t="n">
        <v>44.5</v>
      </c>
      <c r="E14" s="6" t="n">
        <v>92.5</v>
      </c>
      <c r="F14" s="6" t="n">
        <v>12.275</v>
      </c>
      <c r="G14" s="5" t="n">
        <v>10000</v>
      </c>
      <c r="H14" s="6" t="n">
        <v>925.01</v>
      </c>
      <c r="I14" s="6" t="n">
        <v>925</v>
      </c>
      <c r="J14" s="6" t="n">
        <v>123.61</v>
      </c>
    </row>
    <row r="15" customFormat="false" ht="15" hidden="false" customHeight="false" outlineLevel="0" collapsed="false">
      <c r="A15" s="16" t="n">
        <v>11</v>
      </c>
      <c r="B15" s="17" t="s">
        <v>40</v>
      </c>
      <c r="C15" s="5" t="n">
        <v>4</v>
      </c>
      <c r="D15" s="5" t="n">
        <v>25.25</v>
      </c>
      <c r="E15" s="6" t="n">
        <v>46</v>
      </c>
      <c r="F15" s="6" t="n">
        <v>17.5</v>
      </c>
      <c r="G15" s="5" t="n">
        <v>2530</v>
      </c>
      <c r="H15" s="6" t="n">
        <v>116.38</v>
      </c>
      <c r="I15" s="6" t="n">
        <v>116.38</v>
      </c>
      <c r="J15" s="6" t="n">
        <v>17.75</v>
      </c>
    </row>
    <row r="16" customFormat="false" ht="15" hidden="false" customHeight="false" outlineLevel="0" collapsed="false">
      <c r="A16" s="16" t="n">
        <v>12</v>
      </c>
      <c r="B16" s="17" t="s">
        <v>41</v>
      </c>
      <c r="C16" s="5" t="n">
        <v>2</v>
      </c>
      <c r="D16" s="5" t="n">
        <v>42.5</v>
      </c>
      <c r="E16" s="6" t="n">
        <v>49.5</v>
      </c>
      <c r="F16" s="6" t="n">
        <v>30.25</v>
      </c>
      <c r="G16" s="5" t="n">
        <v>4820</v>
      </c>
      <c r="H16" s="6" t="n">
        <v>238.6</v>
      </c>
      <c r="I16" s="6" t="n">
        <v>238.59</v>
      </c>
      <c r="J16" s="6" t="n">
        <v>56.9</v>
      </c>
    </row>
    <row r="17" customFormat="false" ht="15" hidden="false" customHeight="false" outlineLevel="0" collapsed="false">
      <c r="A17" s="16" t="n">
        <v>13</v>
      </c>
      <c r="B17" s="17" t="s">
        <v>42</v>
      </c>
      <c r="C17" s="5" t="n">
        <v>2</v>
      </c>
      <c r="D17" s="5" t="n">
        <v>56.5</v>
      </c>
      <c r="E17" s="6" t="n">
        <v>73.5</v>
      </c>
      <c r="F17" s="6" t="n">
        <v>30.25</v>
      </c>
      <c r="G17" s="5" t="n">
        <v>200</v>
      </c>
      <c r="H17" s="6" t="n">
        <v>14.7</v>
      </c>
      <c r="I17" s="6" t="n">
        <v>14.7</v>
      </c>
      <c r="J17" s="6" t="n">
        <v>3.14</v>
      </c>
    </row>
    <row r="18" customFormat="false" ht="15" hidden="false" customHeight="false" outlineLevel="0" collapsed="false">
      <c r="A18" s="16" t="n">
        <v>14</v>
      </c>
      <c r="B18" s="17" t="s">
        <v>43</v>
      </c>
      <c r="C18" s="5" t="n">
        <v>8</v>
      </c>
      <c r="D18" s="5" t="n">
        <v>12.75</v>
      </c>
      <c r="E18" s="6" t="n">
        <v>29</v>
      </c>
      <c r="F18" s="6" t="n">
        <v>10.375</v>
      </c>
      <c r="G18" s="5" t="n">
        <v>4600</v>
      </c>
      <c r="H18" s="6" t="n">
        <v>133.4</v>
      </c>
      <c r="I18" s="6" t="n">
        <v>133.4</v>
      </c>
      <c r="J18" s="6" t="n">
        <v>16.29</v>
      </c>
    </row>
    <row r="19" customFormat="false" ht="15" hidden="false" customHeight="false" outlineLevel="0" collapsed="false">
      <c r="A19" s="16" t="n">
        <v>15</v>
      </c>
      <c r="B19" s="17" t="s">
        <v>44</v>
      </c>
      <c r="C19" s="5" t="n">
        <v>4</v>
      </c>
      <c r="D19" s="5" t="n">
        <v>22.25</v>
      </c>
      <c r="E19" s="6" t="n">
        <v>56.75</v>
      </c>
      <c r="F19" s="6" t="n">
        <v>12.25</v>
      </c>
      <c r="G19" s="5" t="n">
        <v>1240</v>
      </c>
      <c r="H19" s="6" t="n">
        <v>70.37</v>
      </c>
      <c r="I19" s="6" t="n">
        <v>70.37</v>
      </c>
      <c r="J19" s="6" t="n">
        <v>7.66</v>
      </c>
    </row>
    <row r="20" customFormat="false" ht="15" hidden="false" customHeight="false" outlineLevel="0" collapsed="false">
      <c r="A20" s="16" t="n">
        <v>16</v>
      </c>
      <c r="B20" s="17" t="s">
        <v>45</v>
      </c>
      <c r="C20" s="5" t="n">
        <v>8</v>
      </c>
      <c r="D20" s="5" t="n">
        <v>9.125</v>
      </c>
      <c r="E20" s="6" t="n">
        <v>1.16</v>
      </c>
      <c r="F20" s="6" t="n">
        <v>1.0125</v>
      </c>
      <c r="G20" s="5" t="n">
        <v>8600</v>
      </c>
      <c r="H20" s="6" t="n">
        <v>9.98</v>
      </c>
      <c r="I20" s="6" t="n">
        <v>9.98</v>
      </c>
      <c r="J20" s="6" t="n">
        <v>21.8</v>
      </c>
    </row>
    <row r="21" customFormat="false" ht="15" hidden="false" customHeight="false" outlineLevel="0" collapsed="false">
      <c r="A21" s="16" t="n">
        <v>17</v>
      </c>
      <c r="B21" s="17" t="s">
        <v>46</v>
      </c>
      <c r="C21" s="5" t="n">
        <v>16</v>
      </c>
      <c r="D21" s="5" t="n">
        <v>8.625</v>
      </c>
      <c r="E21" s="6" t="n">
        <v>36.3</v>
      </c>
      <c r="F21" s="6" t="n">
        <v>11.46875</v>
      </c>
      <c r="G21" s="5" t="n">
        <v>64450</v>
      </c>
      <c r="H21" s="6" t="n">
        <v>2339.54</v>
      </c>
      <c r="I21" s="6" t="n">
        <v>2339.54</v>
      </c>
      <c r="J21" s="6" t="n">
        <v>154.41</v>
      </c>
    </row>
    <row r="22" customFormat="false" ht="15" hidden="false" customHeight="false" outlineLevel="0" collapsed="false">
      <c r="A22" s="16" t="n">
        <v>18</v>
      </c>
      <c r="B22" s="17" t="s">
        <v>47</v>
      </c>
      <c r="C22" s="5" t="n">
        <v>2</v>
      </c>
      <c r="D22" s="5" t="n">
        <v>48.5</v>
      </c>
      <c r="E22" s="6" t="n">
        <v>161</v>
      </c>
      <c r="F22" s="6" t="n">
        <v>38</v>
      </c>
      <c r="G22" s="5" t="n">
        <v>555</v>
      </c>
      <c r="H22" s="6" t="n">
        <v>88.8</v>
      </c>
      <c r="I22" s="6" t="n">
        <v>88.8</v>
      </c>
      <c r="J22" s="6" t="n">
        <v>7.48</v>
      </c>
    </row>
    <row r="23" customFormat="false" ht="15" hidden="false" customHeight="false" outlineLevel="0" collapsed="false">
      <c r="A23" s="16" t="n">
        <v>19</v>
      </c>
      <c r="B23" s="17" t="s">
        <v>48</v>
      </c>
      <c r="C23" s="5" t="n">
        <v>3</v>
      </c>
      <c r="D23" s="5" t="n">
        <v>42.66666667</v>
      </c>
      <c r="E23" s="6" t="n">
        <v>36</v>
      </c>
      <c r="F23" s="6" t="n">
        <v>10.75</v>
      </c>
      <c r="G23" s="5" t="n">
        <v>2130</v>
      </c>
      <c r="H23" s="6" t="n">
        <v>76.68</v>
      </c>
      <c r="I23" s="6" t="n">
        <v>76.68</v>
      </c>
      <c r="J23" s="6" t="n">
        <v>25.24</v>
      </c>
    </row>
    <row r="24" customFormat="false" ht="15" hidden="false" customHeight="false" outlineLevel="0" collapsed="false">
      <c r="A24" s="16" t="n">
        <v>20</v>
      </c>
      <c r="B24" s="17" t="s">
        <v>49</v>
      </c>
      <c r="C24" s="5" t="n">
        <v>3</v>
      </c>
      <c r="D24" s="5" t="n">
        <v>42.66666667</v>
      </c>
      <c r="E24" s="6" t="n">
        <v>24.25</v>
      </c>
      <c r="F24" s="6" t="n">
        <v>10.75</v>
      </c>
      <c r="G24" s="5" t="n">
        <v>2120</v>
      </c>
      <c r="H24" s="6" t="n">
        <v>51.41</v>
      </c>
      <c r="I24" s="6" t="n">
        <v>51.41</v>
      </c>
      <c r="J24" s="6" t="n">
        <v>25.13</v>
      </c>
    </row>
    <row r="25" customFormat="false" ht="15" hidden="false" customHeight="false" outlineLevel="0" collapsed="false">
      <c r="A25" s="16" t="n">
        <v>21</v>
      </c>
      <c r="B25" s="17" t="s">
        <v>50</v>
      </c>
      <c r="C25" s="5" t="n">
        <v>2</v>
      </c>
      <c r="D25" s="5" t="n">
        <v>95</v>
      </c>
      <c r="E25" s="6" t="n">
        <v>214.3</v>
      </c>
      <c r="F25" s="6" t="n">
        <v>64.6</v>
      </c>
      <c r="G25" s="5" t="n">
        <v>693</v>
      </c>
      <c r="H25" s="6" t="n">
        <v>148.51</v>
      </c>
      <c r="I25" s="6" t="n">
        <v>148.51</v>
      </c>
      <c r="J25" s="6" t="n">
        <v>18.29</v>
      </c>
    </row>
    <row r="26" customFormat="false" ht="15" hidden="false" customHeight="false" outlineLevel="0" collapsed="false">
      <c r="A26" s="16" t="n">
        <v>22</v>
      </c>
      <c r="B26" s="17" t="s">
        <v>51</v>
      </c>
      <c r="C26" s="5" t="n">
        <v>6</v>
      </c>
      <c r="D26" s="5" t="n">
        <v>16.83333333</v>
      </c>
      <c r="E26" s="6" t="n">
        <v>36.5</v>
      </c>
      <c r="F26" s="6" t="n">
        <v>12.33333333</v>
      </c>
      <c r="G26" s="5" t="n">
        <v>1470</v>
      </c>
      <c r="H26" s="6" t="n">
        <v>53.66</v>
      </c>
      <c r="I26" s="6" t="n">
        <v>69.53</v>
      </c>
      <c r="J26" s="6" t="n">
        <v>9.39</v>
      </c>
    </row>
    <row r="27" customFormat="false" ht="15" hidden="false" customHeight="false" outlineLevel="0" collapsed="false">
      <c r="A27" s="16" t="n">
        <v>23</v>
      </c>
      <c r="B27" s="17" t="s">
        <v>52</v>
      </c>
      <c r="C27" s="5" t="n">
        <v>7</v>
      </c>
      <c r="D27" s="5" t="n">
        <v>21</v>
      </c>
      <c r="E27" s="6" t="n">
        <v>60.9</v>
      </c>
      <c r="F27" s="6" t="n">
        <v>11.62857143</v>
      </c>
      <c r="G27" s="5" t="n">
        <v>5640</v>
      </c>
      <c r="H27" s="6" t="n">
        <v>343.48</v>
      </c>
      <c r="I27" s="6" t="n">
        <v>343.48</v>
      </c>
      <c r="J27" s="6" t="n">
        <v>32.9</v>
      </c>
    </row>
    <row r="28" customFormat="false" ht="15" hidden="false" customHeight="false" outlineLevel="0" collapsed="false">
      <c r="A28" s="16" t="n">
        <v>24</v>
      </c>
      <c r="B28" s="17" t="s">
        <v>53</v>
      </c>
      <c r="C28" s="5" t="n">
        <v>12</v>
      </c>
      <c r="D28" s="5" t="n">
        <v>7.083333333</v>
      </c>
      <c r="E28" s="6" t="n">
        <v>12</v>
      </c>
      <c r="F28" s="6" t="n">
        <v>7.333333333</v>
      </c>
      <c r="G28" s="5" t="n">
        <v>5400</v>
      </c>
      <c r="H28" s="6" t="n">
        <v>66.15</v>
      </c>
      <c r="I28" s="6" t="n">
        <v>66.15</v>
      </c>
      <c r="J28" s="6" t="n">
        <v>10.63</v>
      </c>
    </row>
    <row r="29" customFormat="false" ht="15" hidden="false" customHeight="false" outlineLevel="0" collapsed="false">
      <c r="A29" s="16" t="n">
        <v>25</v>
      </c>
      <c r="B29" s="17" t="s">
        <v>54</v>
      </c>
      <c r="C29" s="5" t="n">
        <v>8</v>
      </c>
      <c r="D29" s="5" t="n">
        <v>10.625</v>
      </c>
      <c r="E29" s="6" t="n">
        <v>11</v>
      </c>
      <c r="F29" s="6" t="n">
        <v>6.5</v>
      </c>
      <c r="G29" s="5" t="n">
        <v>7592</v>
      </c>
      <c r="H29" s="6" t="n">
        <v>83.52</v>
      </c>
      <c r="I29" s="6" t="n">
        <v>531.44</v>
      </c>
      <c r="J29" s="6" t="n">
        <v>22.41</v>
      </c>
    </row>
    <row r="30" customFormat="false" ht="15" hidden="false" customHeight="false" outlineLevel="0" collapsed="false">
      <c r="A30" s="16" t="n">
        <v>26</v>
      </c>
      <c r="B30" s="17" t="s">
        <v>55</v>
      </c>
      <c r="C30" s="5" t="n">
        <v>4</v>
      </c>
      <c r="D30" s="5" t="n">
        <v>25.25</v>
      </c>
      <c r="E30" s="6" t="n">
        <v>36.7</v>
      </c>
      <c r="F30" s="6" t="n">
        <v>12.5</v>
      </c>
      <c r="G30" s="5" t="n">
        <v>1000</v>
      </c>
      <c r="H30" s="6" t="n">
        <v>36.7</v>
      </c>
      <c r="I30" s="6" t="n">
        <v>36.7</v>
      </c>
      <c r="J30" s="6" t="n">
        <v>7.01</v>
      </c>
    </row>
    <row r="31" customFormat="false" ht="15" hidden="false" customHeight="false" outlineLevel="0" collapsed="false">
      <c r="A31" s="16" t="n">
        <v>27</v>
      </c>
      <c r="B31" s="17" t="s">
        <v>56</v>
      </c>
      <c r="C31" s="5" t="n">
        <v>8</v>
      </c>
      <c r="D31" s="5" t="n">
        <v>10.375</v>
      </c>
      <c r="E31" s="6" t="n">
        <v>13.125</v>
      </c>
      <c r="F31" s="6" t="n">
        <v>7.59375</v>
      </c>
      <c r="G31" s="5" t="n">
        <v>8457</v>
      </c>
      <c r="H31" s="6" t="n">
        <v>109.94</v>
      </c>
      <c r="I31" s="6" t="n">
        <v>744.22</v>
      </c>
      <c r="J31" s="6" t="n">
        <v>24.37</v>
      </c>
    </row>
    <row r="32" customFormat="false" ht="15" hidden="false" customHeight="false" outlineLevel="0" collapsed="false">
      <c r="A32" s="16" t="n">
        <v>28</v>
      </c>
      <c r="B32" s="17" t="s">
        <v>57</v>
      </c>
      <c r="C32" s="5" t="n">
        <v>4</v>
      </c>
      <c r="D32" s="5" t="n">
        <v>24.5</v>
      </c>
      <c r="E32" s="6" t="n">
        <v>34</v>
      </c>
      <c r="F32" s="6" t="n">
        <v>16.75</v>
      </c>
      <c r="G32" s="5" t="n">
        <v>2970</v>
      </c>
      <c r="H32" s="6" t="n">
        <v>164.84</v>
      </c>
      <c r="I32" s="6" t="n">
        <v>164.84</v>
      </c>
      <c r="J32" s="6" t="n">
        <v>20.21</v>
      </c>
    </row>
    <row r="33" customFormat="false" ht="15" hidden="false" customHeight="false" outlineLevel="0" collapsed="false">
      <c r="A33" s="16" t="n">
        <v>29</v>
      </c>
      <c r="B33" s="17" t="s">
        <v>58</v>
      </c>
      <c r="C33" s="5" t="n">
        <v>16</v>
      </c>
      <c r="D33" s="5" t="n">
        <v>5.5</v>
      </c>
      <c r="E33" s="6" t="n">
        <v>15.675</v>
      </c>
      <c r="F33" s="6" t="n">
        <v>5.93125</v>
      </c>
      <c r="G33" s="5" t="n">
        <v>8000</v>
      </c>
      <c r="H33" s="6" t="n">
        <v>125.4</v>
      </c>
      <c r="I33" s="6" t="n">
        <v>125.4</v>
      </c>
      <c r="J33" s="6" t="n">
        <v>12.22</v>
      </c>
    </row>
    <row r="34" customFormat="false" ht="15" hidden="false" customHeight="false" outlineLevel="0" collapsed="false">
      <c r="A34" s="16" t="n">
        <v>30</v>
      </c>
      <c r="B34" s="17" t="s">
        <v>59</v>
      </c>
      <c r="C34" s="5" t="n">
        <v>16</v>
      </c>
      <c r="D34" s="5" t="n">
        <v>6.375</v>
      </c>
      <c r="E34" s="6" t="n">
        <v>22.9</v>
      </c>
      <c r="F34" s="6" t="n">
        <v>10.309375</v>
      </c>
      <c r="G34" s="5" t="n">
        <v>103000</v>
      </c>
      <c r="H34" s="6" t="n">
        <v>2358.7</v>
      </c>
      <c r="I34" s="6" t="n">
        <v>2358.7</v>
      </c>
      <c r="J34" s="6" t="n">
        <v>182.4</v>
      </c>
    </row>
    <row r="35" customFormat="false" ht="15" hidden="false" customHeight="false" outlineLevel="0" collapsed="false">
      <c r="A35" s="16" t="n">
        <v>31</v>
      </c>
      <c r="B35" s="17" t="s">
        <v>60</v>
      </c>
      <c r="C35" s="5" t="n">
        <v>6</v>
      </c>
      <c r="D35" s="5" t="n">
        <v>7.5</v>
      </c>
      <c r="E35" s="6" t="n">
        <v>3.225</v>
      </c>
      <c r="F35" s="6" t="n">
        <v>1.2</v>
      </c>
      <c r="G35" s="5" t="n">
        <v>2800</v>
      </c>
      <c r="H35" s="6" t="n">
        <v>9.03</v>
      </c>
      <c r="I35" s="6" t="n">
        <v>9.03</v>
      </c>
      <c r="J35" s="6" t="n">
        <v>5.83</v>
      </c>
    </row>
    <row r="36" customFormat="false" ht="15" hidden="false" customHeight="false" outlineLevel="0" collapsed="false">
      <c r="A36" s="16" t="n">
        <v>32</v>
      </c>
      <c r="B36" s="17" t="s">
        <v>61</v>
      </c>
      <c r="C36" s="5" t="n">
        <v>4</v>
      </c>
      <c r="D36" s="5" t="n">
        <v>23</v>
      </c>
      <c r="E36" s="6" t="n">
        <v>3.85</v>
      </c>
      <c r="F36" s="6" t="n">
        <v>1.0625</v>
      </c>
      <c r="G36" s="5" t="n">
        <v>2250</v>
      </c>
      <c r="H36" s="6" t="n">
        <v>8.66</v>
      </c>
      <c r="I36" s="6" t="n">
        <v>8.66</v>
      </c>
      <c r="J36" s="6" t="n">
        <v>14.38</v>
      </c>
    </row>
    <row r="37" customFormat="false" ht="15" hidden="false" customHeight="false" outlineLevel="0" collapsed="false">
      <c r="A37" s="16" t="n">
        <v>33</v>
      </c>
      <c r="B37" s="17" t="s">
        <v>62</v>
      </c>
      <c r="C37" s="5" t="n">
        <v>8</v>
      </c>
      <c r="D37" s="5" t="n">
        <v>11.875</v>
      </c>
      <c r="E37" s="6" t="n">
        <v>22.625</v>
      </c>
      <c r="F37" s="6" t="n">
        <v>8.625</v>
      </c>
      <c r="G37" s="5" t="n">
        <v>8650</v>
      </c>
      <c r="H37" s="6" t="n">
        <v>195.71</v>
      </c>
      <c r="I37" s="6" t="n">
        <v>195.71</v>
      </c>
      <c r="J37" s="6" t="n">
        <v>28.53</v>
      </c>
    </row>
    <row r="38" customFormat="false" ht="15" hidden="false" customHeight="false" outlineLevel="0" collapsed="false">
      <c r="A38" s="16" t="n">
        <v>34</v>
      </c>
      <c r="B38" s="17" t="s">
        <v>63</v>
      </c>
      <c r="C38" s="5" t="n">
        <v>4</v>
      </c>
      <c r="D38" s="5" t="n">
        <v>26.75</v>
      </c>
      <c r="E38" s="6" t="n">
        <v>87.3</v>
      </c>
      <c r="F38" s="6" t="n">
        <v>17.35</v>
      </c>
      <c r="G38" s="5" t="n">
        <v>2730</v>
      </c>
      <c r="H38" s="6" t="n">
        <v>238.33</v>
      </c>
      <c r="I38" s="6" t="n">
        <v>238.33</v>
      </c>
      <c r="J38" s="6" t="n">
        <v>20.29</v>
      </c>
    </row>
    <row r="39" customFormat="false" ht="15" hidden="false" customHeight="false" outlineLevel="0" collapsed="false">
      <c r="A39" s="16" t="n">
        <v>35</v>
      </c>
      <c r="B39" s="17" t="s">
        <v>64</v>
      </c>
      <c r="C39" s="5" t="n">
        <v>12</v>
      </c>
      <c r="D39" s="5" t="n">
        <v>11</v>
      </c>
      <c r="E39" s="6" t="n">
        <v>19</v>
      </c>
      <c r="F39" s="6" t="n">
        <v>8.125</v>
      </c>
      <c r="G39" s="5" t="n">
        <v>8311</v>
      </c>
      <c r="H39" s="6" t="n">
        <v>159.99</v>
      </c>
      <c r="I39" s="6" t="n">
        <v>305.43</v>
      </c>
      <c r="J39" s="6" t="n">
        <v>25.39</v>
      </c>
    </row>
    <row r="40" customFormat="false" ht="15" hidden="false" customHeight="false" outlineLevel="0" collapsed="false">
      <c r="A40" s="16" t="n">
        <v>36</v>
      </c>
      <c r="B40" s="17" t="s">
        <v>65</v>
      </c>
      <c r="C40" s="5" t="n">
        <v>4</v>
      </c>
      <c r="D40" s="5" t="n">
        <v>26</v>
      </c>
      <c r="E40" s="6" t="n">
        <v>10</v>
      </c>
      <c r="F40" s="6" t="n">
        <v>11</v>
      </c>
      <c r="G40" s="5" t="n">
        <v>2650</v>
      </c>
      <c r="H40" s="6" t="n">
        <v>26.5</v>
      </c>
      <c r="I40" s="6" t="n">
        <v>26.5</v>
      </c>
      <c r="J40" s="6" t="n">
        <v>19.14</v>
      </c>
    </row>
    <row r="41" customFormat="false" ht="15" hidden="false" customHeight="false" outlineLevel="0" collapsed="false">
      <c r="A41" s="16" t="n">
        <v>37</v>
      </c>
      <c r="B41" s="17" t="s">
        <v>66</v>
      </c>
      <c r="C41" s="5" t="n">
        <v>16</v>
      </c>
      <c r="D41" s="5" t="n">
        <v>8.5</v>
      </c>
      <c r="E41" s="6" t="n">
        <v>22.25</v>
      </c>
      <c r="F41" s="6" t="n">
        <v>7.871875</v>
      </c>
      <c r="G41" s="5" t="n">
        <v>6200</v>
      </c>
      <c r="H41" s="6" t="n">
        <v>137.95</v>
      </c>
      <c r="I41" s="6" t="n">
        <v>137.95</v>
      </c>
      <c r="J41" s="6" t="n">
        <v>14.64</v>
      </c>
    </row>
    <row r="42" customFormat="false" ht="15" hidden="false" customHeight="false" outlineLevel="0" collapsed="false">
      <c r="A42" s="16" t="n">
        <v>38</v>
      </c>
      <c r="B42" s="17" t="s">
        <v>67</v>
      </c>
      <c r="C42" s="5" t="n">
        <v>8</v>
      </c>
      <c r="D42" s="5" t="n">
        <v>12</v>
      </c>
      <c r="E42" s="6" t="n">
        <v>32.3</v>
      </c>
      <c r="F42" s="6" t="n">
        <v>6.475</v>
      </c>
      <c r="G42" s="5" t="n">
        <v>2775</v>
      </c>
      <c r="H42" s="6" t="n">
        <v>89.63</v>
      </c>
      <c r="I42" s="6" t="n">
        <v>89.63</v>
      </c>
      <c r="J42" s="6" t="n">
        <v>9.25</v>
      </c>
    </row>
    <row r="43" customFormat="false" ht="15" hidden="false" customHeight="false" outlineLevel="0" collapsed="false">
      <c r="A43" s="16" t="n">
        <v>39</v>
      </c>
      <c r="B43" s="17" t="s">
        <v>68</v>
      </c>
      <c r="C43" s="5" t="n">
        <v>8</v>
      </c>
      <c r="D43" s="5" t="n">
        <v>8.875</v>
      </c>
      <c r="E43" s="6" t="n">
        <v>8.3</v>
      </c>
      <c r="F43" s="6" t="n">
        <v>4.20625</v>
      </c>
      <c r="G43" s="5" t="n">
        <v>20480</v>
      </c>
      <c r="H43" s="6" t="n">
        <v>169.98</v>
      </c>
      <c r="I43" s="6" t="n">
        <v>169.98</v>
      </c>
      <c r="J43" s="6" t="n">
        <v>50.49</v>
      </c>
    </row>
    <row r="44" customFormat="false" ht="15" hidden="false" customHeight="false" outlineLevel="0" collapsed="false">
      <c r="A44" s="16" t="n">
        <v>40</v>
      </c>
      <c r="B44" s="17" t="s">
        <v>69</v>
      </c>
      <c r="C44" s="5" t="n">
        <v>4</v>
      </c>
      <c r="D44" s="5" t="n">
        <v>21.5</v>
      </c>
      <c r="E44" s="6" t="n">
        <v>32.5</v>
      </c>
      <c r="F44" s="6" t="n">
        <v>16.875</v>
      </c>
      <c r="G44" s="5" t="n">
        <v>3550</v>
      </c>
      <c r="H44" s="6" t="n">
        <v>115.38</v>
      </c>
      <c r="I44" s="6" t="n">
        <v>115.38</v>
      </c>
      <c r="J44" s="6" t="n">
        <v>21.2</v>
      </c>
    </row>
    <row r="45" customFormat="false" ht="15" hidden="false" customHeight="false" outlineLevel="0" collapsed="false">
      <c r="A45" s="16" t="n">
        <v>41</v>
      </c>
      <c r="B45" s="17" t="s">
        <v>70</v>
      </c>
      <c r="C45" s="5" t="n">
        <v>8</v>
      </c>
      <c r="D45" s="5" t="n">
        <v>13</v>
      </c>
      <c r="E45" s="6" t="n">
        <v>49.2</v>
      </c>
      <c r="F45" s="6" t="n">
        <v>11.8625</v>
      </c>
      <c r="G45" s="5" t="n">
        <v>5225</v>
      </c>
      <c r="H45" s="6" t="n">
        <v>257.07</v>
      </c>
      <c r="I45" s="6" t="n">
        <v>257.07</v>
      </c>
      <c r="J45" s="6" t="n">
        <v>18.87</v>
      </c>
    </row>
    <row r="46" customFormat="false" ht="15" hidden="false" customHeight="false" outlineLevel="0" collapsed="false">
      <c r="A46" s="16" t="n">
        <v>42</v>
      </c>
      <c r="B46" s="17" t="s">
        <v>71</v>
      </c>
      <c r="C46" s="5" t="n">
        <v>8</v>
      </c>
      <c r="D46" s="5" t="n">
        <v>18</v>
      </c>
      <c r="E46" s="6" t="n">
        <v>40.25</v>
      </c>
      <c r="F46" s="6" t="n">
        <v>12.3125</v>
      </c>
      <c r="G46" s="5" t="n">
        <v>4600</v>
      </c>
      <c r="H46" s="6" t="n">
        <v>185.15</v>
      </c>
      <c r="I46" s="6" t="n">
        <v>185.15</v>
      </c>
      <c r="J46" s="6" t="n">
        <v>23</v>
      </c>
    </row>
    <row r="47" customFormat="false" ht="15" hidden="false" customHeight="false" outlineLevel="0" collapsed="false">
      <c r="A47" s="16" t="n">
        <v>43</v>
      </c>
      <c r="B47" s="17" t="s">
        <v>72</v>
      </c>
      <c r="C47" s="5" t="n">
        <v>4</v>
      </c>
      <c r="D47" s="5" t="n">
        <v>27.75</v>
      </c>
      <c r="E47" s="6" t="n">
        <v>30</v>
      </c>
      <c r="F47" s="6" t="n">
        <v>9.375</v>
      </c>
      <c r="G47" s="5" t="n">
        <v>1305</v>
      </c>
      <c r="H47" s="6" t="n">
        <v>39.8</v>
      </c>
      <c r="I47" s="6" t="n">
        <v>62.64</v>
      </c>
      <c r="J47" s="6" t="n">
        <v>10.06</v>
      </c>
    </row>
    <row r="48" customFormat="false" ht="15" hidden="false" customHeight="false" outlineLevel="0" collapsed="false">
      <c r="A48" s="16" t="n">
        <v>44</v>
      </c>
      <c r="B48" s="17" t="s">
        <v>73</v>
      </c>
      <c r="C48" s="5"/>
      <c r="D48" s="5"/>
      <c r="E48" s="6" t="n">
        <v>2.12</v>
      </c>
      <c r="F48" s="6"/>
      <c r="G48" s="5" t="n">
        <v>6500</v>
      </c>
      <c r="H48" s="6" t="n">
        <v>13.72</v>
      </c>
      <c r="I48" s="6" t="n">
        <v>13.72</v>
      </c>
      <c r="J48" s="6" t="n">
        <v>13.77</v>
      </c>
    </row>
    <row r="49" customFormat="false" ht="15" hidden="false" customHeight="false" outlineLevel="0" collapsed="false">
      <c r="A49" s="16" t="n">
        <v>45</v>
      </c>
      <c r="B49" s="17" t="s">
        <v>74</v>
      </c>
      <c r="C49" s="5" t="n">
        <v>4</v>
      </c>
      <c r="D49" s="5" t="n">
        <v>28.25</v>
      </c>
      <c r="E49" s="6" t="n">
        <v>133</v>
      </c>
      <c r="F49" s="6" t="n">
        <v>9.5</v>
      </c>
      <c r="G49" s="5" t="n">
        <v>3010</v>
      </c>
      <c r="H49" s="6" t="n">
        <v>400.33</v>
      </c>
      <c r="I49" s="6" t="n">
        <v>400.33</v>
      </c>
      <c r="J49" s="6" t="n">
        <v>23.62</v>
      </c>
    </row>
    <row r="50" customFormat="false" ht="15" hidden="false" customHeight="false" outlineLevel="0" collapsed="false">
      <c r="A50" s="16" t="n">
        <v>46</v>
      </c>
      <c r="B50" s="17" t="s">
        <v>75</v>
      </c>
      <c r="C50" s="5" t="n">
        <v>9</v>
      </c>
      <c r="D50" s="5" t="n">
        <v>12.77777778</v>
      </c>
      <c r="E50" s="6" t="n">
        <v>29.3</v>
      </c>
      <c r="F50" s="6" t="n">
        <v>7.065555556</v>
      </c>
      <c r="G50" s="5" t="n">
        <v>9500</v>
      </c>
      <c r="H50" s="6" t="n">
        <v>278.35</v>
      </c>
      <c r="I50" s="6" t="n">
        <v>278.35</v>
      </c>
      <c r="J50" s="6" t="n">
        <v>33.72</v>
      </c>
    </row>
    <row r="51" customFormat="false" ht="15" hidden="false" customHeight="false" outlineLevel="0" collapsed="false">
      <c r="A51" s="16" t="n">
        <v>47</v>
      </c>
      <c r="B51" s="17" t="s">
        <v>76</v>
      </c>
      <c r="C51" s="5" t="n">
        <v>8</v>
      </c>
      <c r="D51" s="5" t="n">
        <v>14.5</v>
      </c>
      <c r="E51" s="6" t="n">
        <v>37</v>
      </c>
      <c r="F51" s="6" t="n">
        <v>7.6875</v>
      </c>
      <c r="G51" s="5" t="n">
        <v>9713</v>
      </c>
      <c r="H51" s="6" t="n">
        <v>359.38</v>
      </c>
      <c r="I51" s="6" t="n">
        <v>543.93</v>
      </c>
      <c r="J51" s="6" t="n">
        <v>39.12</v>
      </c>
    </row>
    <row r="52" customFormat="false" ht="15" hidden="false" customHeight="false" outlineLevel="0" collapsed="false">
      <c r="A52" s="16" t="n">
        <v>48</v>
      </c>
      <c r="B52" s="17" t="s">
        <v>77</v>
      </c>
      <c r="C52" s="5" t="n">
        <v>2</v>
      </c>
      <c r="D52" s="5" t="n">
        <v>68</v>
      </c>
      <c r="E52" s="6" t="n">
        <v>27.5</v>
      </c>
      <c r="F52" s="6" t="n">
        <v>4.5</v>
      </c>
      <c r="G52" s="5" t="n">
        <v>660</v>
      </c>
      <c r="H52" s="6" t="n">
        <v>18.15</v>
      </c>
      <c r="I52" s="6" t="n">
        <v>18.15</v>
      </c>
      <c r="J52" s="6" t="n">
        <v>12.47</v>
      </c>
    </row>
    <row r="53" customFormat="false" ht="15" hidden="false" customHeight="false" outlineLevel="0" collapsed="false">
      <c r="A53" s="16" t="n">
        <v>49</v>
      </c>
      <c r="B53" s="17" t="s">
        <v>78</v>
      </c>
      <c r="C53" s="5" t="n">
        <v>2</v>
      </c>
      <c r="D53" s="5" t="n">
        <v>69</v>
      </c>
      <c r="E53" s="6" t="n">
        <v>38.65</v>
      </c>
      <c r="F53" s="6" t="n">
        <v>4.5</v>
      </c>
      <c r="G53" s="5" t="n">
        <v>660</v>
      </c>
      <c r="H53" s="6" t="n">
        <v>25.51</v>
      </c>
      <c r="I53" s="6" t="n">
        <v>25.51</v>
      </c>
      <c r="J53" s="6" t="n">
        <v>12.65</v>
      </c>
    </row>
    <row r="54" customFormat="false" ht="15" hidden="false" customHeight="false" outlineLevel="0" collapsed="false">
      <c r="A54" s="16" t="n">
        <v>50</v>
      </c>
      <c r="B54" s="17" t="s">
        <v>79</v>
      </c>
      <c r="C54" s="5" t="n">
        <v>8</v>
      </c>
      <c r="D54" s="5" t="n">
        <v>14.125</v>
      </c>
      <c r="E54" s="6" t="n">
        <v>38</v>
      </c>
      <c r="F54" s="6" t="n">
        <v>5.9375</v>
      </c>
      <c r="G54" s="5" t="n">
        <v>4966</v>
      </c>
      <c r="H54" s="6" t="n">
        <v>178.78</v>
      </c>
      <c r="I54" s="6" t="n">
        <v>273.13</v>
      </c>
      <c r="J54" s="6" t="n">
        <v>19.48</v>
      </c>
    </row>
    <row r="55" customFormat="false" ht="15" hidden="false" customHeight="false" outlineLevel="0" collapsed="false">
      <c r="A55" s="16" t="n">
        <v>51</v>
      </c>
      <c r="B55" s="17" t="s">
        <v>80</v>
      </c>
      <c r="C55" s="5" t="n">
        <v>8</v>
      </c>
      <c r="D55" s="5" t="n">
        <v>14.75</v>
      </c>
      <c r="E55" s="6" t="n">
        <v>19</v>
      </c>
      <c r="F55" s="6" t="n">
        <v>3.8125</v>
      </c>
      <c r="G55" s="5" t="n">
        <v>7000</v>
      </c>
      <c r="H55" s="6" t="n">
        <v>133</v>
      </c>
      <c r="I55" s="6" t="n">
        <v>133</v>
      </c>
      <c r="J55" s="6" t="n">
        <v>28.68</v>
      </c>
    </row>
    <row r="56" customFormat="false" ht="15" hidden="false" customHeight="false" outlineLevel="0" collapsed="false">
      <c r="A56" s="16" t="n">
        <v>52</v>
      </c>
      <c r="B56" s="17" t="s">
        <v>81</v>
      </c>
      <c r="C56" s="5" t="n">
        <v>8</v>
      </c>
      <c r="D56" s="5" t="n">
        <v>12.625</v>
      </c>
      <c r="E56" s="6" t="n">
        <v>36.4</v>
      </c>
      <c r="F56" s="6" t="n">
        <v>8.6375</v>
      </c>
      <c r="G56" s="5" t="n">
        <v>5475</v>
      </c>
      <c r="H56" s="6" t="n">
        <v>199.29</v>
      </c>
      <c r="I56" s="6" t="n">
        <v>199.29</v>
      </c>
      <c r="J56" s="6" t="n">
        <v>19.2</v>
      </c>
    </row>
    <row r="57" customFormat="false" ht="15" hidden="false" customHeight="false" outlineLevel="0" collapsed="false">
      <c r="A57" s="16" t="n">
        <v>53</v>
      </c>
      <c r="B57" s="17" t="s">
        <v>82</v>
      </c>
      <c r="C57" s="5" t="n">
        <v>4</v>
      </c>
      <c r="D57" s="5" t="n">
        <v>32.5</v>
      </c>
      <c r="E57" s="6" t="n">
        <v>50</v>
      </c>
      <c r="F57" s="6" t="n">
        <v>16.125</v>
      </c>
      <c r="G57" s="5" t="n">
        <v>2660</v>
      </c>
      <c r="H57" s="6" t="n">
        <v>133</v>
      </c>
      <c r="I57" s="6" t="n">
        <v>133</v>
      </c>
      <c r="J57" s="6" t="n">
        <v>24.01</v>
      </c>
    </row>
    <row r="58" customFormat="false" ht="15" hidden="false" customHeight="false" outlineLevel="0" collapsed="false">
      <c r="A58" s="16" t="n">
        <v>54</v>
      </c>
      <c r="B58" s="17" t="s">
        <v>83</v>
      </c>
      <c r="C58" s="5" t="n">
        <v>8</v>
      </c>
      <c r="D58" s="5" t="n">
        <v>18</v>
      </c>
      <c r="E58" s="6" t="n">
        <v>32</v>
      </c>
      <c r="F58" s="6" t="n">
        <v>8.1625</v>
      </c>
      <c r="G58" s="5" t="n">
        <v>5975</v>
      </c>
      <c r="H58" s="6" t="n">
        <v>190.9</v>
      </c>
      <c r="I58" s="6" t="n">
        <v>190.9</v>
      </c>
      <c r="J58" s="6" t="n">
        <v>29.88</v>
      </c>
    </row>
    <row r="59" customFormat="false" ht="15" hidden="false" customHeight="false" outlineLevel="0" collapsed="false">
      <c r="A59" s="16" t="n">
        <v>55</v>
      </c>
      <c r="B59" s="17" t="s">
        <v>84</v>
      </c>
      <c r="C59" s="5" t="n">
        <v>16</v>
      </c>
      <c r="D59" s="5" t="n">
        <v>5.75</v>
      </c>
      <c r="E59" s="6" t="n">
        <v>13.5</v>
      </c>
      <c r="F59" s="6" t="n">
        <v>5</v>
      </c>
      <c r="G59" s="5" t="n">
        <v>33000</v>
      </c>
      <c r="H59" s="6" t="n">
        <v>445.5</v>
      </c>
      <c r="I59" s="6" t="n">
        <v>445.5</v>
      </c>
      <c r="J59" s="6" t="n">
        <v>52.71</v>
      </c>
    </row>
    <row r="60" customFormat="false" ht="15" hidden="false" customHeight="false" outlineLevel="0" collapsed="false">
      <c r="A60" s="16" t="n">
        <v>56</v>
      </c>
      <c r="B60" s="17" t="s">
        <v>85</v>
      </c>
      <c r="C60" s="5" t="n">
        <v>4</v>
      </c>
      <c r="D60" s="5" t="n">
        <v>34</v>
      </c>
      <c r="E60" s="6" t="n">
        <v>73</v>
      </c>
      <c r="F60" s="6" t="n">
        <v>15</v>
      </c>
      <c r="G60" s="5" t="n">
        <v>805</v>
      </c>
      <c r="H60" s="6" t="n">
        <v>58.77</v>
      </c>
      <c r="I60" s="6" t="n">
        <v>58.77</v>
      </c>
      <c r="J60" s="6" t="n">
        <v>7.6</v>
      </c>
    </row>
    <row r="61" customFormat="false" ht="15" hidden="false" customHeight="false" outlineLevel="0" collapsed="false">
      <c r="A61" s="16" t="n">
        <v>57</v>
      </c>
      <c r="B61" s="17" t="s">
        <v>86</v>
      </c>
      <c r="C61" s="5" t="n">
        <v>3</v>
      </c>
      <c r="D61" s="5" t="n">
        <v>47</v>
      </c>
      <c r="E61" s="6" t="n">
        <v>84.25</v>
      </c>
      <c r="F61" s="6" t="n">
        <v>17.16666667</v>
      </c>
      <c r="G61" s="5" t="n">
        <v>2015</v>
      </c>
      <c r="H61" s="6" t="n">
        <v>169.77</v>
      </c>
      <c r="I61" s="6" t="n">
        <v>169.76</v>
      </c>
      <c r="J61" s="6" t="n">
        <v>26.31</v>
      </c>
    </row>
    <row r="62" customFormat="false" ht="15" hidden="false" customHeight="false" outlineLevel="0" collapsed="false">
      <c r="A62" s="16" t="n">
        <v>58</v>
      </c>
      <c r="B62" s="17" t="s">
        <v>87</v>
      </c>
      <c r="C62" s="5" t="n">
        <v>16</v>
      </c>
      <c r="D62" s="5" t="n">
        <v>5</v>
      </c>
      <c r="E62" s="6" t="n">
        <v>10</v>
      </c>
      <c r="F62" s="6" t="n">
        <v>6.3125</v>
      </c>
      <c r="G62" s="5" t="n">
        <v>2800</v>
      </c>
      <c r="H62" s="6" t="n">
        <v>27.72</v>
      </c>
      <c r="I62" s="6" t="n">
        <v>27.72</v>
      </c>
      <c r="J62" s="6" t="n">
        <v>3.89</v>
      </c>
    </row>
    <row r="63" customFormat="false" ht="15" hidden="false" customHeight="false" outlineLevel="0" collapsed="false">
      <c r="A63" s="16" t="n">
        <v>59</v>
      </c>
      <c r="B63" s="17" t="s">
        <v>88</v>
      </c>
      <c r="C63" s="5" t="n">
        <v>4</v>
      </c>
      <c r="D63" s="5" t="n">
        <v>24.75</v>
      </c>
      <c r="E63" s="6" t="n">
        <v>21.5</v>
      </c>
      <c r="F63" s="6" t="n">
        <v>6.75</v>
      </c>
      <c r="G63" s="5" t="n">
        <v>1730</v>
      </c>
      <c r="H63" s="6" t="n">
        <v>37.2</v>
      </c>
      <c r="I63" s="6" t="n">
        <v>37.2</v>
      </c>
      <c r="J63" s="6" t="n">
        <v>11.89</v>
      </c>
    </row>
    <row r="64" customFormat="false" ht="15" hidden="false" customHeight="false" outlineLevel="0" collapsed="false">
      <c r="A64" s="16" t="n">
        <v>60</v>
      </c>
      <c r="B64" s="17" t="s">
        <v>89</v>
      </c>
      <c r="C64" s="5" t="n">
        <v>4</v>
      </c>
      <c r="D64" s="5" t="n">
        <v>28.75</v>
      </c>
      <c r="E64" s="6" t="n">
        <v>18.8</v>
      </c>
      <c r="F64" s="6" t="n">
        <v>4.5</v>
      </c>
      <c r="G64" s="5" t="n">
        <v>5900</v>
      </c>
      <c r="H64" s="6" t="n">
        <v>110.92</v>
      </c>
      <c r="I64" s="6" t="n">
        <v>110.92</v>
      </c>
      <c r="J64" s="6" t="n">
        <v>47.12</v>
      </c>
    </row>
    <row r="65" customFormat="false" ht="15" hidden="false" customHeight="false" outlineLevel="0" collapsed="false">
      <c r="A65" s="16" t="n">
        <v>61</v>
      </c>
      <c r="B65" s="17" t="s">
        <v>90</v>
      </c>
      <c r="C65" s="5" t="n">
        <v>14</v>
      </c>
      <c r="D65" s="5" t="n">
        <v>7.285714286</v>
      </c>
      <c r="E65" s="6" t="n">
        <v>20.4</v>
      </c>
      <c r="F65" s="6" t="n">
        <v>10.16071429</v>
      </c>
      <c r="G65" s="5" t="n">
        <v>46200</v>
      </c>
      <c r="H65" s="6" t="n">
        <v>942.48</v>
      </c>
      <c r="I65" s="6" t="n">
        <v>942.48</v>
      </c>
      <c r="J65" s="6" t="n">
        <v>93.5</v>
      </c>
    </row>
    <row r="66" customFormat="false" ht="15" hidden="false" customHeight="false" outlineLevel="0" collapsed="false">
      <c r="A66" s="16" t="n">
        <v>62</v>
      </c>
      <c r="B66" s="17" t="s">
        <v>91</v>
      </c>
      <c r="C66" s="5" t="n">
        <v>4</v>
      </c>
      <c r="D66" s="5" t="n">
        <v>25.5</v>
      </c>
      <c r="E66" s="6" t="n">
        <v>58.6</v>
      </c>
      <c r="F66" s="6" t="n">
        <v>11.025</v>
      </c>
      <c r="G66" s="5" t="n">
        <v>2979</v>
      </c>
      <c r="H66" s="6" t="n">
        <v>174.57</v>
      </c>
      <c r="I66" s="6" t="n">
        <v>174.57</v>
      </c>
      <c r="J66" s="6" t="n">
        <v>21.1</v>
      </c>
    </row>
    <row r="67" customFormat="false" ht="15" hidden="false" customHeight="false" outlineLevel="0" collapsed="false">
      <c r="A67" s="16" t="n">
        <v>63</v>
      </c>
      <c r="B67" s="17" t="s">
        <v>92</v>
      </c>
      <c r="C67" s="5" t="n">
        <v>4</v>
      </c>
      <c r="D67" s="5" t="n">
        <v>27.5</v>
      </c>
      <c r="E67" s="6" t="n">
        <v>37.25</v>
      </c>
      <c r="F67" s="6" t="n">
        <v>15</v>
      </c>
      <c r="G67" s="5" t="n">
        <v>4220</v>
      </c>
      <c r="H67" s="6" t="n">
        <v>157.2</v>
      </c>
      <c r="I67" s="6" t="n">
        <v>157.2</v>
      </c>
      <c r="J67" s="6" t="n">
        <v>32.24</v>
      </c>
    </row>
    <row r="68" customFormat="false" ht="15" hidden="false" customHeight="false" outlineLevel="0" collapsed="false">
      <c r="A68" s="16" t="n">
        <v>64</v>
      </c>
      <c r="B68" s="17" t="s">
        <v>93</v>
      </c>
      <c r="C68" s="5" t="n">
        <v>4</v>
      </c>
      <c r="D68" s="5" t="n">
        <v>43</v>
      </c>
      <c r="E68" s="6" t="n">
        <v>60.85</v>
      </c>
      <c r="F68" s="6" t="n">
        <v>12.9625</v>
      </c>
      <c r="G68" s="5" t="n">
        <v>2350</v>
      </c>
      <c r="H68" s="6" t="n">
        <v>143</v>
      </c>
      <c r="I68" s="6" t="n">
        <v>143</v>
      </c>
      <c r="J68" s="6" t="n">
        <v>28.07</v>
      </c>
    </row>
    <row r="69" customFormat="false" ht="15" hidden="false" customHeight="false" outlineLevel="0" collapsed="false">
      <c r="A69" s="16" t="n">
        <v>65</v>
      </c>
      <c r="B69" s="17" t="s">
        <v>94</v>
      </c>
      <c r="C69" s="5" t="n">
        <v>8</v>
      </c>
      <c r="D69" s="5" t="n">
        <v>15.875</v>
      </c>
      <c r="E69" s="6" t="n">
        <v>9.05</v>
      </c>
      <c r="F69" s="6" t="n">
        <v>2.0125</v>
      </c>
      <c r="G69" s="5" t="n">
        <v>4500</v>
      </c>
      <c r="H69" s="6" t="n">
        <v>40.73</v>
      </c>
      <c r="I69" s="6" t="n">
        <v>40.73</v>
      </c>
      <c r="J69" s="6" t="n">
        <v>19.84</v>
      </c>
    </row>
    <row r="70" customFormat="false" ht="15" hidden="false" customHeight="false" outlineLevel="0" collapsed="false">
      <c r="A70" s="16" t="n">
        <v>66</v>
      </c>
      <c r="B70" s="17" t="s">
        <v>95</v>
      </c>
      <c r="C70" s="5" t="n">
        <v>4</v>
      </c>
      <c r="D70" s="5" t="n">
        <v>23.25</v>
      </c>
      <c r="E70" s="6" t="n">
        <v>41</v>
      </c>
      <c r="F70" s="6" t="n">
        <v>21.25</v>
      </c>
      <c r="G70" s="5" t="n">
        <v>534</v>
      </c>
      <c r="H70" s="6" t="n">
        <v>21.29</v>
      </c>
      <c r="I70" s="6" t="n">
        <v>43.92</v>
      </c>
      <c r="J70" s="6" t="n">
        <v>3.45</v>
      </c>
    </row>
    <row r="71" customFormat="false" ht="15" hidden="false" customHeight="false" outlineLevel="0" collapsed="false">
      <c r="A71" s="16" t="n">
        <v>67</v>
      </c>
      <c r="B71" s="17" t="s">
        <v>96</v>
      </c>
      <c r="C71" s="5" t="n">
        <v>8</v>
      </c>
      <c r="D71" s="5" t="n">
        <v>8.75</v>
      </c>
      <c r="E71" s="6" t="n">
        <v>4.6</v>
      </c>
      <c r="F71" s="6" t="n">
        <v>4.1625</v>
      </c>
      <c r="G71" s="5" t="n">
        <v>2950</v>
      </c>
      <c r="H71" s="6" t="n">
        <v>13.57</v>
      </c>
      <c r="I71" s="6" t="n">
        <v>13.57</v>
      </c>
      <c r="J71" s="6" t="n">
        <v>7.17</v>
      </c>
    </row>
    <row r="72" customFormat="false" ht="15" hidden="false" customHeight="false" outlineLevel="0" collapsed="false">
      <c r="A72" s="16" t="n">
        <v>68</v>
      </c>
      <c r="B72" s="17" t="s">
        <v>97</v>
      </c>
      <c r="C72" s="5" t="n">
        <v>1</v>
      </c>
      <c r="D72" s="5" t="n">
        <v>143</v>
      </c>
      <c r="E72" s="6" t="n">
        <v>58.8</v>
      </c>
      <c r="F72" s="6" t="n">
        <v>29.1</v>
      </c>
      <c r="G72" s="5"/>
      <c r="H72" s="6"/>
      <c r="I72" s="6"/>
      <c r="J72" s="6"/>
    </row>
    <row r="73" customFormat="false" ht="15" hidden="false" customHeight="false" outlineLevel="0" collapsed="false">
      <c r="A73" s="16" t="n">
        <v>69</v>
      </c>
      <c r="B73" s="17" t="s">
        <v>98</v>
      </c>
      <c r="C73" s="5" t="n">
        <v>1</v>
      </c>
      <c r="D73" s="5" t="n">
        <v>80</v>
      </c>
      <c r="E73" s="6" t="n">
        <v>65</v>
      </c>
      <c r="F73" s="6" t="n">
        <v>21</v>
      </c>
      <c r="G73" s="5"/>
      <c r="H73" s="6"/>
      <c r="I73" s="6"/>
      <c r="J73" s="6"/>
    </row>
    <row r="74" customFormat="false" ht="15" hidden="false" customHeight="false" outlineLevel="0" collapsed="false">
      <c r="A74" s="16" t="n">
        <v>70</v>
      </c>
      <c r="B74" s="17" t="s">
        <v>99</v>
      </c>
      <c r="C74" s="5" t="n">
        <v>4</v>
      </c>
      <c r="D74" s="5" t="n">
        <v>33.75</v>
      </c>
      <c r="E74" s="6" t="n">
        <v>262</v>
      </c>
      <c r="F74" s="6" t="n">
        <v>11.625</v>
      </c>
      <c r="G74" s="5"/>
      <c r="H74" s="6"/>
      <c r="I74" s="6"/>
      <c r="J74" s="6"/>
    </row>
    <row r="75" customFormat="false" ht="15" hidden="false" customHeight="false" outlineLevel="0" collapsed="false">
      <c r="A75" s="16" t="n">
        <v>71</v>
      </c>
      <c r="B75" s="17" t="s">
        <v>100</v>
      </c>
      <c r="C75" s="5" t="n">
        <v>6</v>
      </c>
      <c r="D75" s="5" t="n">
        <v>15.5</v>
      </c>
      <c r="E75" s="6" t="n">
        <v>41</v>
      </c>
      <c r="F75" s="6" t="n">
        <v>10.26666667</v>
      </c>
      <c r="G75" s="5"/>
      <c r="H75" s="6"/>
      <c r="I75" s="6"/>
      <c r="J75" s="6"/>
    </row>
    <row r="76" customFormat="false" ht="15" hidden="false" customHeight="false" outlineLevel="0" collapsed="false">
      <c r="A76" s="16" t="n">
        <v>72</v>
      </c>
      <c r="B76" s="17" t="s">
        <v>101</v>
      </c>
      <c r="C76" s="5" t="n">
        <v>16</v>
      </c>
      <c r="D76" s="5" t="n">
        <v>6.5625</v>
      </c>
      <c r="E76" s="6" t="n">
        <v>15.22</v>
      </c>
      <c r="F76" s="6" t="n">
        <v>9.6</v>
      </c>
      <c r="G76" s="5"/>
      <c r="H76" s="6"/>
      <c r="I76" s="6"/>
      <c r="J76" s="6"/>
    </row>
    <row r="77" customFormat="false" ht="15" hidden="false" customHeight="false" outlineLevel="0" collapsed="false">
      <c r="A77" s="16" t="n">
        <v>73</v>
      </c>
      <c r="B77" s="17" t="s">
        <v>33</v>
      </c>
      <c r="C77" s="5" t="n">
        <v>2</v>
      </c>
      <c r="D77" s="5" t="n">
        <v>52.5</v>
      </c>
      <c r="E77" s="6" t="n">
        <v>86</v>
      </c>
      <c r="F77" s="6" t="n">
        <v>39.8</v>
      </c>
      <c r="G77" s="5"/>
      <c r="H77" s="6"/>
      <c r="I77" s="6"/>
      <c r="J77" s="6"/>
    </row>
    <row r="78" customFormat="false" ht="15" hidden="false" customHeight="false" outlineLevel="0" collapsed="false">
      <c r="A78" s="16" t="n">
        <v>74</v>
      </c>
      <c r="B78" s="17" t="s">
        <v>35</v>
      </c>
      <c r="C78" s="5" t="n">
        <v>16</v>
      </c>
      <c r="D78" s="5" t="n">
        <v>7.8125</v>
      </c>
      <c r="E78" s="6" t="n">
        <v>15.35</v>
      </c>
      <c r="F78" s="6" t="n">
        <v>4.625</v>
      </c>
      <c r="G78" s="5"/>
      <c r="H78" s="6"/>
      <c r="I78" s="6"/>
      <c r="J78" s="6"/>
    </row>
    <row r="79" customFormat="false" ht="15" hidden="false" customHeight="false" outlineLevel="0" collapsed="false">
      <c r="A79" s="16" t="n">
        <v>75</v>
      </c>
      <c r="B79" s="17" t="s">
        <v>102</v>
      </c>
      <c r="C79" s="5" t="n">
        <v>8</v>
      </c>
      <c r="D79" s="5" t="n">
        <v>6.25</v>
      </c>
      <c r="E79" s="6" t="n">
        <v>0.68</v>
      </c>
      <c r="F79" s="6" t="n">
        <v>0.9375</v>
      </c>
      <c r="G79" s="5"/>
      <c r="H79" s="6"/>
      <c r="I79" s="6"/>
      <c r="J79" s="6"/>
    </row>
    <row r="80" customFormat="false" ht="15" hidden="false" customHeight="false" outlineLevel="0" collapsed="false">
      <c r="A80" s="16" t="n">
        <v>76</v>
      </c>
      <c r="B80" s="17" t="s">
        <v>98</v>
      </c>
      <c r="C80" s="5" t="n">
        <v>1</v>
      </c>
      <c r="D80" s="5" t="n">
        <v>80</v>
      </c>
      <c r="E80" s="6" t="n">
        <v>65</v>
      </c>
      <c r="F80" s="6" t="n">
        <v>21</v>
      </c>
      <c r="G80" s="5"/>
      <c r="H80" s="6"/>
      <c r="I80" s="6"/>
      <c r="J80" s="6"/>
    </row>
    <row r="81" customFormat="false" ht="15" hidden="false" customHeight="false" outlineLevel="0" collapsed="false">
      <c r="A81" s="16" t="n">
        <v>77</v>
      </c>
      <c r="B81" s="17" t="s">
        <v>46</v>
      </c>
      <c r="C81" s="5" t="n">
        <v>16</v>
      </c>
      <c r="D81" s="5" t="n">
        <v>8.625</v>
      </c>
      <c r="E81" s="6" t="n">
        <v>36.3</v>
      </c>
      <c r="F81" s="6" t="n">
        <v>11.46875</v>
      </c>
      <c r="G81" s="5"/>
      <c r="H81" s="6"/>
      <c r="I81" s="6"/>
      <c r="J81" s="6"/>
    </row>
    <row r="82" customFormat="false" ht="15" hidden="false" customHeight="false" outlineLevel="0" collapsed="false">
      <c r="A82" s="16" t="n">
        <v>78</v>
      </c>
      <c r="B82" s="17" t="s">
        <v>101</v>
      </c>
      <c r="C82" s="5" t="n">
        <v>16</v>
      </c>
      <c r="D82" s="5" t="n">
        <v>6.5625</v>
      </c>
      <c r="E82" s="6" t="n">
        <v>15.22</v>
      </c>
      <c r="F82" s="6" t="n">
        <v>9.6</v>
      </c>
      <c r="G82" s="5"/>
      <c r="H82" s="6"/>
      <c r="I82" s="6"/>
      <c r="J82" s="6"/>
    </row>
    <row r="83" customFormat="false" ht="15" hidden="false" customHeight="false" outlineLevel="0" collapsed="false">
      <c r="A83" s="16" t="n">
        <v>79</v>
      </c>
      <c r="B83" s="17" t="s">
        <v>103</v>
      </c>
      <c r="C83" s="5" t="n">
        <v>4</v>
      </c>
      <c r="D83" s="5" t="n">
        <v>31.25</v>
      </c>
      <c r="E83" s="6" t="n">
        <v>148</v>
      </c>
      <c r="F83" s="6" t="n">
        <v>17.75</v>
      </c>
      <c r="G83" s="5"/>
      <c r="H83" s="6"/>
      <c r="I83" s="6"/>
      <c r="J83" s="6"/>
    </row>
    <row r="84" customFormat="false" ht="15" hidden="false" customHeight="false" outlineLevel="0" collapsed="false">
      <c r="A84" s="16" t="n">
        <v>80</v>
      </c>
      <c r="B84" s="17" t="s">
        <v>34</v>
      </c>
      <c r="C84" s="5" t="n">
        <v>8</v>
      </c>
      <c r="D84" s="5" t="n">
        <v>14.625</v>
      </c>
      <c r="E84" s="6" t="n">
        <v>30</v>
      </c>
      <c r="F84" s="6" t="n">
        <v>7.875</v>
      </c>
      <c r="G84" s="5"/>
      <c r="H84" s="6"/>
      <c r="I84" s="6"/>
      <c r="J84" s="6"/>
    </row>
    <row r="85" customFormat="false" ht="15" hidden="false" customHeight="false" outlineLevel="0" collapsed="false">
      <c r="A85" s="18" t="s">
        <v>14</v>
      </c>
      <c r="B85" s="18"/>
      <c r="C85" s="18"/>
      <c r="D85" s="18"/>
      <c r="E85" s="18"/>
      <c r="F85" s="18"/>
      <c r="G85" s="19" t="n">
        <f aca="false">SUM(G5:G84)</f>
        <v>716595</v>
      </c>
      <c r="H85" s="20" t="n">
        <f aca="false">SUM(H5:H84)</f>
        <v>19591.32</v>
      </c>
      <c r="I85" s="20" t="n">
        <f aca="false">SUM(I5:I84)</f>
        <v>22092.06</v>
      </c>
      <c r="J85" s="20" t="n">
        <f aca="false">SUM(J5:J84)</f>
        <v>2390.7</v>
      </c>
    </row>
  </sheetData>
  <mergeCells count="3">
    <mergeCell ref="A1:J1"/>
    <mergeCell ref="A2:J2"/>
    <mergeCell ref="A85:F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10" min="9" style="0" width="16"/>
  </cols>
  <sheetData>
    <row r="1" customFormat="false" ht="15" hidden="false" customHeight="false" outlineLevel="0" collapsed="false">
      <c r="A1" s="14" t="s">
        <v>104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15" hidden="false" customHeight="false" outlineLevel="0" collapsed="false">
      <c r="A2" s="15" t="s">
        <v>105</v>
      </c>
      <c r="B2" s="15"/>
      <c r="C2" s="15"/>
      <c r="D2" s="15"/>
      <c r="E2" s="15"/>
      <c r="F2" s="15"/>
      <c r="G2" s="15"/>
      <c r="H2" s="15"/>
      <c r="I2" s="15"/>
      <c r="J2" s="15"/>
    </row>
    <row r="4" customFormat="false" ht="23.85" hidden="false" customHeight="fals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5</v>
      </c>
      <c r="H4" s="3" t="s">
        <v>6</v>
      </c>
      <c r="I4" s="3" t="s">
        <v>29</v>
      </c>
      <c r="J4" s="3" t="s">
        <v>7</v>
      </c>
    </row>
    <row r="5" customFormat="false" ht="15" hidden="false" customHeight="false" outlineLevel="0" collapsed="false">
      <c r="A5" s="16" t="n">
        <v>1</v>
      </c>
      <c r="B5" s="17" t="s">
        <v>106</v>
      </c>
      <c r="C5" s="5" t="n">
        <v>4</v>
      </c>
      <c r="D5" s="5" t="n">
        <v>25</v>
      </c>
      <c r="E5" s="6" t="n">
        <v>61.3</v>
      </c>
      <c r="F5" s="6" t="n">
        <v>11.7125</v>
      </c>
      <c r="G5" s="5" t="n">
        <v>1275</v>
      </c>
      <c r="H5" s="6" t="n">
        <v>78.16</v>
      </c>
      <c r="I5" s="6" t="n">
        <v>78.16</v>
      </c>
      <c r="J5" s="6" t="n">
        <v>8.85</v>
      </c>
    </row>
    <row r="6" customFormat="false" ht="15" hidden="false" customHeight="false" outlineLevel="0" collapsed="false">
      <c r="A6" s="16" t="n">
        <v>2</v>
      </c>
      <c r="B6" s="17" t="s">
        <v>107</v>
      </c>
      <c r="C6" s="5" t="n">
        <v>16</v>
      </c>
      <c r="D6" s="5" t="n">
        <v>5</v>
      </c>
      <c r="E6" s="6" t="n">
        <v>18</v>
      </c>
      <c r="F6" s="6" t="n">
        <v>3.7125</v>
      </c>
      <c r="G6" s="5" t="n">
        <v>9200</v>
      </c>
      <c r="H6" s="6" t="n">
        <v>165.6</v>
      </c>
      <c r="I6" s="6" t="n">
        <v>165.6</v>
      </c>
      <c r="J6" s="6" t="n">
        <v>12.78</v>
      </c>
    </row>
    <row r="7" customFormat="false" ht="15" hidden="false" customHeight="false" outlineLevel="0" collapsed="false">
      <c r="A7" s="16" t="n">
        <v>3</v>
      </c>
      <c r="B7" s="17" t="s">
        <v>108</v>
      </c>
      <c r="C7" s="5" t="n">
        <v>6</v>
      </c>
      <c r="D7" s="5" t="n">
        <v>30.83333333</v>
      </c>
      <c r="E7" s="6" t="n">
        <v>113</v>
      </c>
      <c r="F7" s="6" t="n">
        <v>9.5</v>
      </c>
      <c r="G7" s="5" t="n">
        <v>10040</v>
      </c>
      <c r="H7" s="6" t="n">
        <v>1117.46</v>
      </c>
      <c r="I7" s="6" t="n">
        <v>1117.45</v>
      </c>
      <c r="J7" s="6" t="n">
        <v>85.99</v>
      </c>
    </row>
    <row r="8" customFormat="false" ht="15" hidden="false" customHeight="false" outlineLevel="0" collapsed="false">
      <c r="A8" s="16" t="n">
        <v>4</v>
      </c>
      <c r="B8" s="17" t="s">
        <v>109</v>
      </c>
      <c r="C8" s="5" t="n">
        <v>8</v>
      </c>
      <c r="D8" s="5" t="n">
        <v>14.5</v>
      </c>
      <c r="E8" s="6" t="n">
        <v>48</v>
      </c>
      <c r="F8" s="6" t="n">
        <v>8.75</v>
      </c>
      <c r="G8" s="5" t="n">
        <v>49500</v>
      </c>
      <c r="H8" s="6" t="n">
        <v>2376</v>
      </c>
      <c r="I8" s="6" t="n">
        <v>2376</v>
      </c>
      <c r="J8" s="6" t="n">
        <v>199.38</v>
      </c>
    </row>
    <row r="9" customFormat="false" ht="15" hidden="false" customHeight="false" outlineLevel="0" collapsed="false">
      <c r="A9" s="16" t="n">
        <v>5</v>
      </c>
      <c r="B9" s="17" t="s">
        <v>110</v>
      </c>
      <c r="C9" s="5" t="n">
        <v>8</v>
      </c>
      <c r="D9" s="5" t="n">
        <v>19.375</v>
      </c>
      <c r="E9" s="6" t="n">
        <v>94</v>
      </c>
      <c r="F9" s="6" t="n">
        <v>8.8125</v>
      </c>
      <c r="G9" s="5" t="n">
        <v>18675</v>
      </c>
      <c r="H9" s="6" t="n">
        <v>1755.45</v>
      </c>
      <c r="I9" s="6" t="n">
        <v>1755.45</v>
      </c>
      <c r="J9" s="6" t="n">
        <v>97.91</v>
      </c>
    </row>
    <row r="10" customFormat="false" ht="15" hidden="false" customHeight="false" outlineLevel="0" collapsed="false">
      <c r="A10" s="16" t="n">
        <v>6</v>
      </c>
      <c r="B10" s="17" t="s">
        <v>111</v>
      </c>
      <c r="C10" s="5" t="n">
        <v>4</v>
      </c>
      <c r="D10" s="5" t="n">
        <v>33.5</v>
      </c>
      <c r="E10" s="6" t="n">
        <v>43.45</v>
      </c>
      <c r="F10" s="6" t="n">
        <v>20.6125</v>
      </c>
      <c r="G10" s="5" t="n">
        <v>9320</v>
      </c>
      <c r="H10" s="6" t="n">
        <v>404.95</v>
      </c>
      <c r="I10" s="6" t="n">
        <v>404.95</v>
      </c>
      <c r="J10" s="6" t="n">
        <v>86.73</v>
      </c>
    </row>
    <row r="11" customFormat="false" ht="15" hidden="false" customHeight="false" outlineLevel="0" collapsed="false">
      <c r="A11" s="16" t="n">
        <v>7</v>
      </c>
      <c r="B11" s="17" t="s">
        <v>112</v>
      </c>
      <c r="C11" s="5" t="n">
        <v>2</v>
      </c>
      <c r="D11" s="5" t="n">
        <v>92.5</v>
      </c>
      <c r="E11" s="6" t="n">
        <v>267</v>
      </c>
      <c r="F11" s="6" t="n">
        <v>49</v>
      </c>
      <c r="G11" s="5" t="n">
        <v>920</v>
      </c>
      <c r="H11" s="6" t="n">
        <v>245.64</v>
      </c>
      <c r="I11" s="6" t="n">
        <v>245.64</v>
      </c>
      <c r="J11" s="6" t="n">
        <v>23.64</v>
      </c>
    </row>
    <row r="12" customFormat="false" ht="15" hidden="false" customHeight="false" outlineLevel="0" collapsed="false">
      <c r="A12" s="16" t="n">
        <v>8</v>
      </c>
      <c r="B12" s="17" t="s">
        <v>113</v>
      </c>
      <c r="C12" s="5" t="n">
        <v>4</v>
      </c>
      <c r="D12" s="5" t="n">
        <v>38.75</v>
      </c>
      <c r="E12" s="6" t="n">
        <v>148</v>
      </c>
      <c r="F12" s="6" t="n">
        <v>8.5</v>
      </c>
      <c r="G12" s="5" t="n">
        <v>10190</v>
      </c>
      <c r="H12" s="6" t="n">
        <v>1492.84</v>
      </c>
      <c r="I12" s="6" t="n">
        <v>1492.84</v>
      </c>
      <c r="J12" s="6" t="n">
        <v>102.61</v>
      </c>
    </row>
    <row r="13" customFormat="false" ht="15" hidden="false" customHeight="false" outlineLevel="0" collapsed="false">
      <c r="A13" s="16" t="n">
        <v>9</v>
      </c>
      <c r="B13" s="17" t="s">
        <v>114</v>
      </c>
      <c r="C13" s="5" t="n">
        <v>8</v>
      </c>
      <c r="D13" s="5" t="n">
        <v>17.75</v>
      </c>
      <c r="E13" s="6" t="n">
        <v>29.325</v>
      </c>
      <c r="F13" s="6" t="n">
        <v>8.125</v>
      </c>
      <c r="G13" s="5" t="n">
        <v>3569</v>
      </c>
      <c r="H13" s="6" t="n">
        <v>104.66</v>
      </c>
      <c r="I13" s="6" t="n">
        <v>248.76</v>
      </c>
      <c r="J13" s="6" t="n">
        <v>17.6</v>
      </c>
    </row>
    <row r="14" customFormat="false" ht="15" hidden="false" customHeight="false" outlineLevel="0" collapsed="false">
      <c r="A14" s="16" t="n">
        <v>10</v>
      </c>
      <c r="B14" s="17" t="s">
        <v>115</v>
      </c>
      <c r="C14" s="5" t="n">
        <v>8</v>
      </c>
      <c r="D14" s="5" t="n">
        <v>15</v>
      </c>
      <c r="E14" s="6" t="n">
        <v>27</v>
      </c>
      <c r="F14" s="6" t="n">
        <v>7.5875</v>
      </c>
      <c r="G14" s="5" t="n">
        <v>5741</v>
      </c>
      <c r="H14" s="6" t="n">
        <v>152.85</v>
      </c>
      <c r="I14" s="6" t="n">
        <v>253.32</v>
      </c>
      <c r="J14" s="6" t="n">
        <v>23.92</v>
      </c>
    </row>
    <row r="15" customFormat="false" ht="15" hidden="false" customHeight="false" outlineLevel="0" collapsed="false">
      <c r="A15" s="16" t="n">
        <v>11</v>
      </c>
      <c r="B15" s="17" t="s">
        <v>116</v>
      </c>
      <c r="C15" s="5" t="n">
        <v>2</v>
      </c>
      <c r="D15" s="5" t="n">
        <v>76</v>
      </c>
      <c r="E15" s="6" t="n">
        <v>73.15</v>
      </c>
      <c r="F15" s="6" t="n">
        <v>16.7</v>
      </c>
      <c r="G15" s="5" t="n">
        <v>1247</v>
      </c>
      <c r="H15" s="6" t="n">
        <v>91.22</v>
      </c>
      <c r="I15" s="6" t="n">
        <v>284.94</v>
      </c>
      <c r="J15" s="6" t="n">
        <v>26.33</v>
      </c>
    </row>
    <row r="16" customFormat="false" ht="15" hidden="false" customHeight="false" outlineLevel="0" collapsed="false">
      <c r="A16" s="16" t="n">
        <v>12</v>
      </c>
      <c r="B16" s="17" t="s">
        <v>117</v>
      </c>
      <c r="C16" s="5" t="n">
        <v>12</v>
      </c>
      <c r="D16" s="5" t="n">
        <v>5.833333333</v>
      </c>
      <c r="E16" s="6" t="n">
        <v>10</v>
      </c>
      <c r="F16" s="6" t="n">
        <v>5.083333333</v>
      </c>
      <c r="G16" s="5" t="n">
        <v>5600</v>
      </c>
      <c r="H16" s="6" t="n">
        <v>54.88</v>
      </c>
      <c r="I16" s="6" t="n">
        <v>54.88</v>
      </c>
      <c r="J16" s="6" t="n">
        <v>9.07</v>
      </c>
    </row>
    <row r="17" customFormat="false" ht="15" hidden="false" customHeight="false" outlineLevel="0" collapsed="false">
      <c r="A17" s="16" t="n">
        <v>13</v>
      </c>
      <c r="B17" s="17" t="s">
        <v>118</v>
      </c>
      <c r="C17" s="5" t="n">
        <v>4</v>
      </c>
      <c r="D17" s="5" t="n">
        <v>22.5</v>
      </c>
      <c r="E17" s="6" t="n">
        <v>30.25</v>
      </c>
      <c r="F17" s="6" t="n">
        <v>11.75</v>
      </c>
      <c r="G17" s="5" t="n">
        <v>4917</v>
      </c>
      <c r="H17" s="6" t="n">
        <v>148.74</v>
      </c>
      <c r="I17" s="6" t="n">
        <v>242.16</v>
      </c>
      <c r="J17" s="6" t="n">
        <v>30.73</v>
      </c>
    </row>
    <row r="18" customFormat="false" ht="15" hidden="false" customHeight="false" outlineLevel="0" collapsed="false">
      <c r="A18" s="16" t="n">
        <v>14</v>
      </c>
      <c r="B18" s="17" t="s">
        <v>119</v>
      </c>
      <c r="C18" s="5" t="n">
        <v>4</v>
      </c>
      <c r="D18" s="5" t="n">
        <v>16.25</v>
      </c>
      <c r="E18" s="6" t="n">
        <v>40</v>
      </c>
      <c r="F18" s="6" t="n">
        <v>8.15</v>
      </c>
      <c r="G18" s="5" t="n">
        <v>3491</v>
      </c>
      <c r="H18" s="6" t="n">
        <v>134.59</v>
      </c>
      <c r="I18" s="6" t="n">
        <v>222.73</v>
      </c>
      <c r="J18" s="6" t="n">
        <v>15.76</v>
      </c>
    </row>
    <row r="19" customFormat="false" ht="15" hidden="false" customHeight="false" outlineLevel="0" collapsed="false">
      <c r="A19" s="16" t="n">
        <v>15</v>
      </c>
      <c r="B19" s="17" t="s">
        <v>120</v>
      </c>
      <c r="C19" s="5" t="n">
        <v>2</v>
      </c>
      <c r="D19" s="5" t="n">
        <v>97.5</v>
      </c>
      <c r="E19" s="6" t="n">
        <v>463</v>
      </c>
      <c r="F19" s="6" t="n">
        <v>58.5</v>
      </c>
      <c r="G19" s="5" t="n">
        <v>390</v>
      </c>
      <c r="H19" s="6" t="n">
        <v>180.57</v>
      </c>
      <c r="I19" s="6" t="n">
        <v>180.57</v>
      </c>
      <c r="J19" s="6" t="n">
        <v>10.56</v>
      </c>
    </row>
    <row r="20" customFormat="false" ht="15" hidden="false" customHeight="false" outlineLevel="0" collapsed="false">
      <c r="A20" s="16" t="n">
        <v>16</v>
      </c>
      <c r="B20" s="17" t="s">
        <v>121</v>
      </c>
      <c r="C20" s="5" t="n">
        <v>1</v>
      </c>
      <c r="D20" s="5" t="n">
        <v>380</v>
      </c>
      <c r="E20" s="6" t="n">
        <v>1003</v>
      </c>
      <c r="F20" s="6" t="n">
        <v>78.9</v>
      </c>
      <c r="G20" s="5" t="n">
        <v>61</v>
      </c>
      <c r="H20" s="6" t="n">
        <v>60.2</v>
      </c>
      <c r="I20" s="6" t="n">
        <v>60.2</v>
      </c>
      <c r="J20" s="6" t="n">
        <v>6.44</v>
      </c>
    </row>
    <row r="21" customFormat="false" ht="15" hidden="false" customHeight="false" outlineLevel="0" collapsed="false">
      <c r="A21" s="16" t="n">
        <v>17</v>
      </c>
      <c r="B21" s="17" t="s">
        <v>122</v>
      </c>
      <c r="C21" s="5" t="n">
        <v>12</v>
      </c>
      <c r="D21" s="5" t="n">
        <v>9.25</v>
      </c>
      <c r="E21" s="6" t="n">
        <v>29.5</v>
      </c>
      <c r="F21" s="6" t="n">
        <v>6.666666667</v>
      </c>
      <c r="G21" s="5" t="n">
        <v>20750</v>
      </c>
      <c r="H21" s="6" t="n">
        <v>612.13</v>
      </c>
      <c r="I21" s="6" t="n">
        <v>612.13</v>
      </c>
      <c r="J21" s="6" t="n">
        <v>53.32</v>
      </c>
    </row>
    <row r="22" customFormat="false" ht="15" hidden="false" customHeight="false" outlineLevel="0" collapsed="false">
      <c r="A22" s="16" t="n">
        <v>18</v>
      </c>
      <c r="B22" s="17" t="s">
        <v>123</v>
      </c>
      <c r="C22" s="5" t="n">
        <v>2</v>
      </c>
      <c r="D22" s="5" t="n">
        <v>51</v>
      </c>
      <c r="E22" s="6" t="n">
        <v>56</v>
      </c>
      <c r="F22" s="6" t="n">
        <v>28.3</v>
      </c>
      <c r="G22" s="5" t="n">
        <v>8500</v>
      </c>
      <c r="H22" s="6" t="n">
        <v>476</v>
      </c>
      <c r="I22" s="6" t="n">
        <v>476</v>
      </c>
      <c r="J22" s="6" t="n">
        <v>120.42</v>
      </c>
    </row>
    <row r="23" customFormat="false" ht="15" hidden="false" customHeight="false" outlineLevel="0" collapsed="false">
      <c r="A23" s="16" t="n">
        <v>19</v>
      </c>
      <c r="B23" s="17" t="s">
        <v>124</v>
      </c>
      <c r="C23" s="5" t="n">
        <v>2</v>
      </c>
      <c r="D23" s="5" t="n">
        <v>57.5</v>
      </c>
      <c r="E23" s="6" t="n">
        <v>86</v>
      </c>
      <c r="F23" s="6" t="n">
        <v>28.3</v>
      </c>
      <c r="G23" s="5" t="n">
        <v>3860</v>
      </c>
      <c r="H23" s="6" t="n">
        <v>329.08</v>
      </c>
      <c r="I23" s="6" t="n">
        <v>329.07</v>
      </c>
      <c r="J23" s="6" t="n">
        <v>61.65</v>
      </c>
    </row>
    <row r="24" customFormat="false" ht="15" hidden="false" customHeight="false" outlineLevel="0" collapsed="false">
      <c r="A24" s="16" t="n">
        <v>20</v>
      </c>
      <c r="B24" s="17" t="s">
        <v>125</v>
      </c>
      <c r="C24" s="5" t="n">
        <v>4</v>
      </c>
      <c r="D24" s="5" t="n">
        <v>29</v>
      </c>
      <c r="E24" s="6" t="n">
        <v>21</v>
      </c>
      <c r="F24" s="6" t="n">
        <v>6.625</v>
      </c>
      <c r="G24" s="5" t="n">
        <v>8150</v>
      </c>
      <c r="H24" s="6" t="n">
        <v>167.08</v>
      </c>
      <c r="I24" s="6" t="n">
        <v>167.08</v>
      </c>
      <c r="J24" s="6" t="n">
        <v>65.65</v>
      </c>
    </row>
    <row r="25" customFormat="false" ht="15" hidden="false" customHeight="false" outlineLevel="0" collapsed="false">
      <c r="A25" s="16" t="n">
        <v>21</v>
      </c>
      <c r="B25" s="17" t="s">
        <v>126</v>
      </c>
      <c r="C25" s="5" t="n">
        <v>8</v>
      </c>
      <c r="D25" s="5" t="n">
        <v>16.75</v>
      </c>
      <c r="E25" s="6" t="n">
        <v>74</v>
      </c>
      <c r="F25" s="6" t="n">
        <v>8.5875</v>
      </c>
      <c r="G25" s="5" t="n">
        <v>71575</v>
      </c>
      <c r="H25" s="6" t="n">
        <v>5296.55</v>
      </c>
      <c r="I25" s="6" t="n">
        <v>5296.55</v>
      </c>
      <c r="J25" s="6" t="n">
        <v>333.02</v>
      </c>
    </row>
    <row r="26" customFormat="false" ht="15" hidden="false" customHeight="false" outlineLevel="0" collapsed="false">
      <c r="A26" s="16" t="n">
        <v>22</v>
      </c>
      <c r="B26" s="17" t="s">
        <v>127</v>
      </c>
      <c r="C26" s="5" t="n">
        <v>4</v>
      </c>
      <c r="D26" s="5" t="n">
        <v>27.5</v>
      </c>
      <c r="E26" s="6" t="n">
        <v>38.95</v>
      </c>
      <c r="F26" s="6" t="n">
        <v>9.25</v>
      </c>
      <c r="G26" s="5" t="n">
        <v>2700</v>
      </c>
      <c r="H26" s="6" t="n">
        <v>105.17</v>
      </c>
      <c r="I26" s="6" t="n">
        <v>105.17</v>
      </c>
      <c r="J26" s="6" t="n">
        <v>20.63</v>
      </c>
    </row>
    <row r="27" customFormat="false" ht="15" hidden="false" customHeight="false" outlineLevel="0" collapsed="false">
      <c r="A27" s="16" t="n">
        <v>23</v>
      </c>
      <c r="B27" s="17" t="s">
        <v>128</v>
      </c>
      <c r="C27" s="5" t="n">
        <v>4</v>
      </c>
      <c r="D27" s="5" t="n">
        <v>27.5</v>
      </c>
      <c r="E27" s="6" t="n">
        <v>29.25</v>
      </c>
      <c r="F27" s="6" t="n">
        <v>6</v>
      </c>
      <c r="G27" s="5" t="n">
        <v>3150</v>
      </c>
      <c r="H27" s="6" t="n">
        <v>92.14</v>
      </c>
      <c r="I27" s="6" t="n">
        <v>92.14</v>
      </c>
      <c r="J27" s="6" t="n">
        <v>24.06</v>
      </c>
    </row>
    <row r="28" customFormat="false" ht="15" hidden="false" customHeight="false" outlineLevel="0" collapsed="false">
      <c r="A28" s="16" t="n">
        <v>24</v>
      </c>
      <c r="B28" s="17" t="s">
        <v>129</v>
      </c>
      <c r="C28" s="5" t="n">
        <v>8</v>
      </c>
      <c r="D28" s="5" t="n">
        <v>14.375</v>
      </c>
      <c r="E28" s="6" t="n">
        <v>42.5</v>
      </c>
      <c r="F28" s="6" t="n">
        <v>9.75</v>
      </c>
      <c r="G28" s="5" t="n">
        <v>3500</v>
      </c>
      <c r="H28" s="6" t="n">
        <v>148.75</v>
      </c>
      <c r="I28" s="6" t="n">
        <v>148.75</v>
      </c>
      <c r="J28" s="6" t="n">
        <v>13.98</v>
      </c>
    </row>
    <row r="29" customFormat="false" ht="15" hidden="false" customHeight="false" outlineLevel="0" collapsed="false">
      <c r="A29" s="16" t="n">
        <v>25</v>
      </c>
      <c r="B29" s="17" t="s">
        <v>130</v>
      </c>
      <c r="C29" s="5" t="n">
        <v>2</v>
      </c>
      <c r="D29" s="5" t="n">
        <v>52.5</v>
      </c>
      <c r="E29" s="6" t="n">
        <v>65</v>
      </c>
      <c r="F29" s="6" t="n">
        <v>16.75</v>
      </c>
      <c r="G29" s="5" t="n">
        <v>2630</v>
      </c>
      <c r="H29" s="6" t="n">
        <v>169.65</v>
      </c>
      <c r="I29" s="6" t="n">
        <v>419.49</v>
      </c>
      <c r="J29" s="6" t="n">
        <v>38.35</v>
      </c>
    </row>
    <row r="30" customFormat="false" ht="15" hidden="false" customHeight="false" outlineLevel="0" collapsed="false">
      <c r="A30" s="16" t="n">
        <v>26</v>
      </c>
      <c r="B30" s="17" t="s">
        <v>131</v>
      </c>
      <c r="C30" s="5" t="n">
        <v>6</v>
      </c>
      <c r="D30" s="5" t="n">
        <v>18.83333333</v>
      </c>
      <c r="E30" s="6" t="n">
        <v>72</v>
      </c>
      <c r="F30" s="6" t="n">
        <v>8</v>
      </c>
      <c r="G30" s="5" t="n">
        <v>8440</v>
      </c>
      <c r="H30" s="6" t="n">
        <v>593.75</v>
      </c>
      <c r="I30" s="6" t="n">
        <v>593.75</v>
      </c>
      <c r="J30" s="6" t="n">
        <v>44.15</v>
      </c>
    </row>
    <row r="31" customFormat="false" ht="15" hidden="false" customHeight="false" outlineLevel="0" collapsed="false">
      <c r="A31" s="16" t="n">
        <v>27</v>
      </c>
      <c r="B31" s="17" t="s">
        <v>132</v>
      </c>
      <c r="C31" s="5" t="n">
        <v>6</v>
      </c>
      <c r="D31" s="5" t="n">
        <v>23</v>
      </c>
      <c r="E31" s="6" t="n">
        <v>151</v>
      </c>
      <c r="F31" s="6" t="n">
        <v>9.166666667</v>
      </c>
      <c r="G31" s="5" t="n">
        <v>4960</v>
      </c>
      <c r="H31" s="6" t="n">
        <v>724.66</v>
      </c>
      <c r="I31" s="6" t="n">
        <v>724.66</v>
      </c>
      <c r="J31" s="6" t="n">
        <v>31.69</v>
      </c>
    </row>
    <row r="32" customFormat="false" ht="15" hidden="false" customHeight="false" outlineLevel="0" collapsed="false">
      <c r="A32" s="16" t="n">
        <v>28</v>
      </c>
      <c r="B32" s="17" t="s">
        <v>133</v>
      </c>
      <c r="C32" s="5" t="n">
        <v>4</v>
      </c>
      <c r="D32" s="5" t="n">
        <v>27.55</v>
      </c>
      <c r="E32" s="6" t="n">
        <v>90</v>
      </c>
      <c r="F32" s="6" t="n">
        <v>7.75</v>
      </c>
      <c r="G32" s="5" t="n">
        <v>2964</v>
      </c>
      <c r="H32" s="6" t="n">
        <v>261.57</v>
      </c>
      <c r="I32" s="6" t="n">
        <v>317.89</v>
      </c>
      <c r="J32" s="6" t="n">
        <v>22.68</v>
      </c>
    </row>
    <row r="33" customFormat="false" ht="15" hidden="false" customHeight="false" outlineLevel="0" collapsed="false">
      <c r="A33" s="16" t="n">
        <v>29</v>
      </c>
      <c r="B33" s="17" t="s">
        <v>134</v>
      </c>
      <c r="C33" s="5" t="n">
        <v>4</v>
      </c>
      <c r="D33" s="5" t="n">
        <v>33.75</v>
      </c>
      <c r="E33" s="6" t="n">
        <v>94</v>
      </c>
      <c r="F33" s="6" t="n">
        <v>11.25</v>
      </c>
      <c r="G33" s="5" t="n">
        <v>830</v>
      </c>
      <c r="H33" s="6" t="n">
        <v>76.94</v>
      </c>
      <c r="I33" s="6" t="n">
        <v>76.94</v>
      </c>
      <c r="J33" s="6" t="n">
        <v>7.78</v>
      </c>
    </row>
    <row r="34" customFormat="false" ht="15" hidden="false" customHeight="false" outlineLevel="0" collapsed="false">
      <c r="A34" s="16" t="n">
        <v>30</v>
      </c>
      <c r="B34" s="17" t="s">
        <v>135</v>
      </c>
      <c r="C34" s="5" t="n">
        <v>4</v>
      </c>
      <c r="D34" s="5" t="n">
        <v>39.75</v>
      </c>
      <c r="E34" s="6" t="n">
        <v>198</v>
      </c>
      <c r="F34" s="6" t="n">
        <v>10.5</v>
      </c>
      <c r="G34" s="5" t="n">
        <v>3110</v>
      </c>
      <c r="H34" s="6" t="n">
        <v>603.34</v>
      </c>
      <c r="I34" s="6" t="n">
        <v>603.34</v>
      </c>
      <c r="J34" s="6" t="n">
        <v>34.34</v>
      </c>
    </row>
    <row r="35" customFormat="false" ht="15" hidden="false" customHeight="false" outlineLevel="0" collapsed="false">
      <c r="A35" s="16" t="n">
        <v>31</v>
      </c>
      <c r="B35" s="17" t="s">
        <v>136</v>
      </c>
      <c r="C35" s="5" t="n">
        <v>8</v>
      </c>
      <c r="D35" s="5" t="n">
        <v>17.75</v>
      </c>
      <c r="E35" s="6" t="n">
        <v>48.63</v>
      </c>
      <c r="F35" s="6" t="n">
        <v>7.625</v>
      </c>
      <c r="G35" s="5" t="n">
        <v>11016</v>
      </c>
      <c r="H35" s="6" t="n">
        <v>557.74</v>
      </c>
      <c r="I35" s="6" t="n">
        <v>767.04</v>
      </c>
      <c r="J35" s="6" t="n">
        <v>54.32</v>
      </c>
    </row>
    <row r="36" customFormat="false" ht="15" hidden="false" customHeight="false" outlineLevel="0" collapsed="false">
      <c r="A36" s="16" t="n">
        <v>32</v>
      </c>
      <c r="B36" s="17" t="s">
        <v>137</v>
      </c>
      <c r="C36" s="5" t="n">
        <v>2</v>
      </c>
      <c r="D36" s="5" t="n">
        <v>55</v>
      </c>
      <c r="E36" s="6" t="n">
        <v>109.4</v>
      </c>
      <c r="F36" s="6" t="n">
        <v>20</v>
      </c>
      <c r="G36" s="5" t="n">
        <v>958</v>
      </c>
      <c r="H36" s="6" t="n">
        <v>104.81</v>
      </c>
      <c r="I36" s="6" t="n">
        <v>287.88</v>
      </c>
      <c r="J36" s="6" t="n">
        <v>14.64</v>
      </c>
    </row>
    <row r="37" customFormat="false" ht="15" hidden="false" customHeight="false" outlineLevel="0" collapsed="false">
      <c r="A37" s="16" t="n">
        <v>33</v>
      </c>
      <c r="B37" s="17" t="s">
        <v>138</v>
      </c>
      <c r="C37" s="5" t="n">
        <v>4</v>
      </c>
      <c r="D37" s="5" t="n">
        <v>35.875</v>
      </c>
      <c r="E37" s="6" t="n">
        <v>36.25</v>
      </c>
      <c r="F37" s="6" t="n">
        <v>8.125</v>
      </c>
      <c r="G37" s="5" t="n">
        <v>6474</v>
      </c>
      <c r="H37" s="6" t="n">
        <v>234.7</v>
      </c>
      <c r="I37" s="6" t="n">
        <v>652.26</v>
      </c>
      <c r="J37" s="6" t="n">
        <v>64.52</v>
      </c>
    </row>
    <row r="38" customFormat="false" ht="15" hidden="false" customHeight="false" outlineLevel="0" collapsed="false">
      <c r="A38" s="16" t="n">
        <v>34</v>
      </c>
      <c r="B38" s="17" t="s">
        <v>139</v>
      </c>
      <c r="C38" s="5" t="n">
        <v>10</v>
      </c>
      <c r="D38" s="5" t="n">
        <v>15.2</v>
      </c>
      <c r="E38" s="6" t="n">
        <v>59</v>
      </c>
      <c r="F38" s="6" t="n">
        <v>6.9</v>
      </c>
      <c r="G38" s="5" t="n">
        <v>6800</v>
      </c>
      <c r="H38" s="6" t="n">
        <v>388.96</v>
      </c>
      <c r="I38" s="6" t="n">
        <v>388.96</v>
      </c>
      <c r="J38" s="6" t="n">
        <v>28.71</v>
      </c>
    </row>
    <row r="39" customFormat="false" ht="15" hidden="false" customHeight="false" outlineLevel="0" collapsed="false">
      <c r="A39" s="16" t="n">
        <v>35</v>
      </c>
      <c r="B39" s="17" t="s">
        <v>140</v>
      </c>
      <c r="C39" s="5" t="n">
        <v>4</v>
      </c>
      <c r="D39" s="5" t="n">
        <v>35.75</v>
      </c>
      <c r="E39" s="6" t="n">
        <v>89</v>
      </c>
      <c r="F39" s="6" t="n">
        <v>13.25</v>
      </c>
      <c r="G39" s="5" t="n">
        <v>9715</v>
      </c>
      <c r="H39" s="6" t="n">
        <v>864.64</v>
      </c>
      <c r="I39" s="6" t="n">
        <v>864.64</v>
      </c>
      <c r="J39" s="6" t="n">
        <v>96.48</v>
      </c>
    </row>
    <row r="40" customFormat="false" ht="15" hidden="false" customHeight="false" outlineLevel="0" collapsed="false">
      <c r="A40" s="16" t="n">
        <v>36</v>
      </c>
      <c r="B40" s="17" t="s">
        <v>141</v>
      </c>
      <c r="C40" s="5" t="n">
        <v>4</v>
      </c>
      <c r="D40" s="5" t="n">
        <v>33.25</v>
      </c>
      <c r="E40" s="6" t="n">
        <v>51</v>
      </c>
      <c r="F40" s="6" t="n">
        <v>9.75</v>
      </c>
      <c r="G40" s="5" t="n">
        <v>3900</v>
      </c>
      <c r="H40" s="6" t="n">
        <v>195.98</v>
      </c>
      <c r="I40" s="6" t="n">
        <v>195.98</v>
      </c>
      <c r="J40" s="6" t="n">
        <v>36.02</v>
      </c>
    </row>
    <row r="41" customFormat="false" ht="15" hidden="false" customHeight="false" outlineLevel="0" collapsed="false">
      <c r="A41" s="16" t="n">
        <v>37</v>
      </c>
      <c r="B41" s="17" t="s">
        <v>142</v>
      </c>
      <c r="C41" s="5" t="n">
        <v>6</v>
      </c>
      <c r="D41" s="5" t="n">
        <v>22.5</v>
      </c>
      <c r="E41" s="6" t="n">
        <v>63</v>
      </c>
      <c r="F41" s="6" t="n">
        <v>7.866666667</v>
      </c>
      <c r="G41" s="5" t="n">
        <v>2130</v>
      </c>
      <c r="H41" s="6" t="n">
        <v>134.19</v>
      </c>
      <c r="I41" s="6" t="n">
        <v>134.19</v>
      </c>
      <c r="J41" s="6" t="n">
        <v>13.31</v>
      </c>
    </row>
    <row r="42" customFormat="false" ht="15" hidden="false" customHeight="false" outlineLevel="0" collapsed="false">
      <c r="A42" s="16" t="n">
        <v>38</v>
      </c>
      <c r="B42" s="17" t="s">
        <v>143</v>
      </c>
      <c r="C42" s="5" t="n">
        <v>6</v>
      </c>
      <c r="D42" s="5" t="n">
        <v>23.83333333</v>
      </c>
      <c r="E42" s="6" t="n">
        <v>90</v>
      </c>
      <c r="F42" s="6" t="n">
        <v>8.5</v>
      </c>
      <c r="G42" s="5" t="n">
        <v>2650</v>
      </c>
      <c r="H42" s="6" t="n">
        <v>235.85</v>
      </c>
      <c r="I42" s="6" t="n">
        <v>235.85</v>
      </c>
      <c r="J42" s="6" t="n">
        <v>17.54</v>
      </c>
    </row>
    <row r="43" customFormat="false" ht="15" hidden="false" customHeight="false" outlineLevel="0" collapsed="false">
      <c r="A43" s="16" t="n">
        <v>39</v>
      </c>
      <c r="B43" s="17" t="s">
        <v>144</v>
      </c>
      <c r="C43" s="5" t="n">
        <v>8</v>
      </c>
      <c r="D43" s="5" t="n">
        <v>14</v>
      </c>
      <c r="E43" s="6" t="n">
        <v>34</v>
      </c>
      <c r="F43" s="6" t="n">
        <v>7.3125</v>
      </c>
      <c r="G43" s="5" t="n">
        <v>8400</v>
      </c>
      <c r="H43" s="6" t="n">
        <v>283.51</v>
      </c>
      <c r="I43" s="6" t="n">
        <v>283.5</v>
      </c>
      <c r="J43" s="6" t="n">
        <v>32.67</v>
      </c>
    </row>
    <row r="44" customFormat="false" ht="15" hidden="false" customHeight="false" outlineLevel="0" collapsed="false">
      <c r="A44" s="16" t="n">
        <v>40</v>
      </c>
      <c r="B44" s="17" t="s">
        <v>145</v>
      </c>
      <c r="C44" s="5" t="n">
        <v>10</v>
      </c>
      <c r="D44" s="5" t="n">
        <v>12.2</v>
      </c>
      <c r="E44" s="6" t="n">
        <v>43</v>
      </c>
      <c r="F44" s="6" t="n">
        <v>7.2</v>
      </c>
      <c r="G44" s="5" t="n">
        <v>31050</v>
      </c>
      <c r="H44" s="6" t="n">
        <v>1335.15</v>
      </c>
      <c r="I44" s="6" t="n">
        <v>1335.15</v>
      </c>
      <c r="J44" s="6" t="n">
        <v>105.23</v>
      </c>
    </row>
    <row r="45" customFormat="false" ht="15" hidden="false" customHeight="false" outlineLevel="0" collapsed="false">
      <c r="A45" s="16" t="n">
        <v>41</v>
      </c>
      <c r="B45" s="17" t="s">
        <v>146</v>
      </c>
      <c r="C45" s="5" t="n">
        <v>4</v>
      </c>
      <c r="D45" s="5" t="n">
        <v>28</v>
      </c>
      <c r="E45" s="6" t="n">
        <v>130.8</v>
      </c>
      <c r="F45" s="6" t="n">
        <v>13.025</v>
      </c>
      <c r="G45" s="5" t="n">
        <v>100</v>
      </c>
      <c r="H45" s="6" t="n">
        <v>13.08</v>
      </c>
      <c r="I45" s="6" t="n">
        <v>13.08</v>
      </c>
      <c r="J45" s="6" t="n">
        <v>0.78</v>
      </c>
    </row>
    <row r="46" customFormat="false" ht="15" hidden="false" customHeight="false" outlineLevel="0" collapsed="false">
      <c r="A46" s="16" t="n">
        <v>42</v>
      </c>
      <c r="B46" s="17" t="s">
        <v>147</v>
      </c>
      <c r="C46" s="5" t="n">
        <v>8</v>
      </c>
      <c r="D46" s="5" t="n">
        <v>14.75</v>
      </c>
      <c r="E46" s="6" t="n">
        <v>61.12</v>
      </c>
      <c r="F46" s="6" t="n">
        <v>7.3125</v>
      </c>
      <c r="G46" s="5" t="n">
        <v>3039</v>
      </c>
      <c r="H46" s="6" t="n">
        <v>190.3</v>
      </c>
      <c r="I46" s="6" t="n">
        <v>243.48</v>
      </c>
      <c r="J46" s="6" t="n">
        <v>12.45</v>
      </c>
    </row>
    <row r="47" customFormat="false" ht="15" hidden="false" customHeight="false" outlineLevel="0" collapsed="false">
      <c r="A47" s="16" t="n">
        <v>43</v>
      </c>
      <c r="B47" s="17" t="s">
        <v>148</v>
      </c>
      <c r="C47" s="5" t="n">
        <v>2</v>
      </c>
      <c r="D47" s="5" t="n">
        <v>61</v>
      </c>
      <c r="E47" s="6" t="n">
        <v>136.9</v>
      </c>
      <c r="F47" s="6" t="n">
        <v>13</v>
      </c>
      <c r="G47" s="5" t="n">
        <v>350</v>
      </c>
      <c r="H47" s="6" t="n">
        <v>47.92</v>
      </c>
      <c r="I47" s="6" t="n">
        <v>159.08</v>
      </c>
      <c r="J47" s="6" t="n">
        <v>5.93</v>
      </c>
    </row>
    <row r="48" customFormat="false" ht="15" hidden="false" customHeight="false" outlineLevel="0" collapsed="false">
      <c r="A48" s="16" t="n">
        <v>44</v>
      </c>
      <c r="B48" s="17" t="s">
        <v>149</v>
      </c>
      <c r="C48" s="5" t="n">
        <v>4</v>
      </c>
      <c r="D48" s="5" t="n">
        <v>28.045</v>
      </c>
      <c r="E48" s="6" t="n">
        <v>42</v>
      </c>
      <c r="F48" s="6" t="n">
        <v>8.4375</v>
      </c>
      <c r="G48" s="5" t="n">
        <v>282</v>
      </c>
      <c r="H48" s="6" t="n">
        <v>11.84</v>
      </c>
      <c r="I48" s="6" t="n">
        <v>23.27</v>
      </c>
      <c r="J48" s="6" t="n">
        <v>2.2</v>
      </c>
    </row>
    <row r="49" customFormat="false" ht="15" hidden="false" customHeight="false" outlineLevel="0" collapsed="false">
      <c r="A49" s="16" t="n">
        <v>45</v>
      </c>
      <c r="B49" s="17" t="s">
        <v>150</v>
      </c>
      <c r="C49" s="5" t="n">
        <v>8</v>
      </c>
      <c r="D49" s="5" t="n">
        <v>16.875</v>
      </c>
      <c r="E49" s="6" t="n">
        <v>43.25</v>
      </c>
      <c r="F49" s="6" t="n">
        <v>8.625</v>
      </c>
      <c r="G49" s="5" t="n">
        <v>5125</v>
      </c>
      <c r="H49" s="6" t="n">
        <v>221.66</v>
      </c>
      <c r="I49" s="6" t="n">
        <v>221.66</v>
      </c>
      <c r="J49" s="6" t="n">
        <v>24.02</v>
      </c>
    </row>
    <row r="50" customFormat="false" ht="15" hidden="false" customHeight="false" outlineLevel="0" collapsed="false">
      <c r="A50" s="16" t="n">
        <v>46</v>
      </c>
      <c r="B50" s="17" t="s">
        <v>151</v>
      </c>
      <c r="C50" s="5" t="n">
        <v>8</v>
      </c>
      <c r="D50" s="5" t="n">
        <v>16.875</v>
      </c>
      <c r="E50" s="6" t="n">
        <v>36</v>
      </c>
      <c r="F50" s="6" t="n">
        <v>7.78125</v>
      </c>
      <c r="G50" s="5" t="n">
        <v>5889</v>
      </c>
      <c r="H50" s="6" t="n">
        <v>219.37</v>
      </c>
      <c r="I50" s="6" t="n">
        <v>331.26</v>
      </c>
      <c r="J50" s="6" t="n">
        <v>27.6</v>
      </c>
    </row>
    <row r="51" customFormat="false" ht="15" hidden="false" customHeight="false" outlineLevel="0" collapsed="false">
      <c r="A51" s="16" t="n">
        <v>47</v>
      </c>
      <c r="B51" s="17" t="s">
        <v>152</v>
      </c>
      <c r="C51" s="5" t="n">
        <v>8</v>
      </c>
      <c r="D51" s="5" t="n">
        <v>14.375</v>
      </c>
      <c r="E51" s="6" t="n">
        <v>44</v>
      </c>
      <c r="F51" s="6" t="n">
        <v>8.25</v>
      </c>
      <c r="G51" s="5" t="n">
        <v>840</v>
      </c>
      <c r="H51" s="6" t="n">
        <v>38.22</v>
      </c>
      <c r="I51" s="6" t="n">
        <v>52.92</v>
      </c>
      <c r="J51" s="6" t="n">
        <v>3.35</v>
      </c>
    </row>
    <row r="52" customFormat="false" ht="15" hidden="false" customHeight="false" outlineLevel="0" collapsed="false">
      <c r="A52" s="16" t="n">
        <v>48</v>
      </c>
      <c r="B52" s="17" t="s">
        <v>153</v>
      </c>
      <c r="C52" s="5" t="n">
        <v>4</v>
      </c>
      <c r="D52" s="5" t="n">
        <v>26</v>
      </c>
      <c r="E52" s="6" t="n">
        <v>30.45</v>
      </c>
      <c r="F52" s="6" t="n">
        <v>7.75</v>
      </c>
      <c r="G52" s="5" t="n">
        <v>7660</v>
      </c>
      <c r="H52" s="6" t="n">
        <v>233.24</v>
      </c>
      <c r="I52" s="6" t="n">
        <v>233.25</v>
      </c>
      <c r="J52" s="6" t="n">
        <v>55.32</v>
      </c>
    </row>
    <row r="53" customFormat="false" ht="15" hidden="false" customHeight="false" outlineLevel="0" collapsed="false">
      <c r="A53" s="16" t="n">
        <v>49</v>
      </c>
      <c r="B53" s="17" t="s">
        <v>154</v>
      </c>
      <c r="C53" s="5" t="n">
        <v>4</v>
      </c>
      <c r="D53" s="5" t="n">
        <v>43.75</v>
      </c>
      <c r="E53" s="6" t="n">
        <v>104.675</v>
      </c>
      <c r="F53" s="6" t="n">
        <v>5.75</v>
      </c>
      <c r="G53" s="5" t="n">
        <v>670</v>
      </c>
      <c r="H53" s="6" t="n">
        <v>70.13</v>
      </c>
      <c r="I53" s="6" t="n">
        <v>70.13</v>
      </c>
      <c r="J53" s="6" t="n">
        <v>8.14</v>
      </c>
    </row>
    <row r="54" customFormat="false" ht="15" hidden="false" customHeight="false" outlineLevel="0" collapsed="false">
      <c r="A54" s="16" t="n">
        <v>50</v>
      </c>
      <c r="B54" s="17" t="s">
        <v>155</v>
      </c>
      <c r="C54" s="5" t="n">
        <v>4</v>
      </c>
      <c r="D54" s="5" t="n">
        <v>26.25</v>
      </c>
      <c r="E54" s="6" t="n">
        <v>109.2</v>
      </c>
      <c r="F54" s="6" t="n">
        <v>11.775</v>
      </c>
      <c r="G54" s="5" t="n">
        <v>680</v>
      </c>
      <c r="H54" s="6" t="n">
        <v>74.26</v>
      </c>
      <c r="I54" s="6" t="n">
        <v>74.26</v>
      </c>
      <c r="J54" s="6" t="n">
        <v>4.96</v>
      </c>
    </row>
    <row r="55" customFormat="false" ht="15" hidden="false" customHeight="false" outlineLevel="0" collapsed="false">
      <c r="A55" s="16" t="n">
        <v>51</v>
      </c>
      <c r="B55" s="17" t="s">
        <v>156</v>
      </c>
      <c r="C55" s="5" t="n">
        <v>8</v>
      </c>
      <c r="D55" s="5" t="n">
        <v>15.625</v>
      </c>
      <c r="E55" s="6" t="n">
        <v>85.25</v>
      </c>
      <c r="F55" s="6" t="n">
        <v>8.5625</v>
      </c>
      <c r="G55" s="5" t="n">
        <v>3600</v>
      </c>
      <c r="H55" s="6" t="n">
        <v>306.9</v>
      </c>
      <c r="I55" s="6" t="n">
        <v>306.9</v>
      </c>
      <c r="J55" s="6" t="n">
        <v>15.63</v>
      </c>
    </row>
    <row r="56" customFormat="false" ht="15" hidden="false" customHeight="false" outlineLevel="0" collapsed="false">
      <c r="A56" s="16" t="n">
        <v>52</v>
      </c>
      <c r="B56" s="17" t="s">
        <v>157</v>
      </c>
      <c r="C56" s="5" t="n">
        <v>4</v>
      </c>
      <c r="D56" s="5" t="n">
        <v>29.05</v>
      </c>
      <c r="E56" s="6" t="n">
        <v>169.8</v>
      </c>
      <c r="F56" s="6" t="n">
        <v>9.875</v>
      </c>
      <c r="G56" s="5" t="n">
        <v>870</v>
      </c>
      <c r="H56" s="6" t="n">
        <v>147.73</v>
      </c>
      <c r="I56" s="6" t="n">
        <v>147.73</v>
      </c>
      <c r="J56" s="6" t="n">
        <v>7.02</v>
      </c>
    </row>
    <row r="57" customFormat="false" ht="15" hidden="false" customHeight="false" outlineLevel="0" collapsed="false">
      <c r="A57" s="16" t="n">
        <v>53</v>
      </c>
      <c r="B57" s="17" t="s">
        <v>158</v>
      </c>
      <c r="C57" s="5" t="n">
        <v>4</v>
      </c>
      <c r="D57" s="5" t="n">
        <v>27.5</v>
      </c>
      <c r="E57" s="6" t="n">
        <v>62</v>
      </c>
      <c r="F57" s="6" t="n">
        <v>9.5</v>
      </c>
      <c r="G57" s="5" t="n">
        <v>5400</v>
      </c>
      <c r="H57" s="6" t="n">
        <v>334.8</v>
      </c>
      <c r="I57" s="6" t="n">
        <v>334.8</v>
      </c>
      <c r="J57" s="6" t="n">
        <v>41.25</v>
      </c>
    </row>
    <row r="58" customFormat="false" ht="15" hidden="false" customHeight="false" outlineLevel="0" collapsed="false">
      <c r="A58" s="16" t="n">
        <v>54</v>
      </c>
      <c r="B58" s="17" t="s">
        <v>159</v>
      </c>
      <c r="C58" s="5" t="n">
        <v>8</v>
      </c>
      <c r="D58" s="5" t="n">
        <v>13.125</v>
      </c>
      <c r="E58" s="6" t="n">
        <v>65.25</v>
      </c>
      <c r="F58" s="6" t="n">
        <v>8.875</v>
      </c>
      <c r="G58" s="5" t="n">
        <v>2440</v>
      </c>
      <c r="H58" s="6" t="n">
        <v>162.87</v>
      </c>
      <c r="I58" s="6" t="n">
        <v>205.57</v>
      </c>
      <c r="J58" s="6" t="n">
        <v>8.9</v>
      </c>
    </row>
    <row r="59" customFormat="false" ht="15" hidden="false" customHeight="false" outlineLevel="0" collapsed="false">
      <c r="A59" s="16" t="n">
        <v>55</v>
      </c>
      <c r="B59" s="17" t="s">
        <v>160</v>
      </c>
      <c r="C59" s="5" t="n">
        <v>8</v>
      </c>
      <c r="D59" s="5" t="n">
        <v>12.625</v>
      </c>
      <c r="E59" s="6" t="n">
        <v>46.25</v>
      </c>
      <c r="F59" s="6" t="n">
        <v>7</v>
      </c>
      <c r="G59" s="5" t="n">
        <v>1079</v>
      </c>
      <c r="H59" s="6" t="n">
        <v>49.9</v>
      </c>
      <c r="I59" s="6" t="n">
        <v>97.38</v>
      </c>
      <c r="J59" s="6" t="n">
        <v>3.78</v>
      </c>
    </row>
    <row r="60" customFormat="false" ht="15" hidden="false" customHeight="false" outlineLevel="0" collapsed="false">
      <c r="A60" s="16" t="n">
        <v>56</v>
      </c>
      <c r="B60" s="17" t="s">
        <v>161</v>
      </c>
      <c r="C60" s="5" t="n">
        <v>4</v>
      </c>
      <c r="D60" s="5" t="n">
        <v>35</v>
      </c>
      <c r="E60" s="6" t="n">
        <v>64</v>
      </c>
      <c r="F60" s="6" t="n">
        <v>13.875</v>
      </c>
      <c r="G60" s="5" t="n">
        <v>1800</v>
      </c>
      <c r="H60" s="6" t="n">
        <v>112.5</v>
      </c>
      <c r="I60" s="6" t="n">
        <v>112.5</v>
      </c>
      <c r="J60" s="6" t="n">
        <v>17.5</v>
      </c>
    </row>
    <row r="61" customFormat="false" ht="15" hidden="false" customHeight="false" outlineLevel="0" collapsed="false">
      <c r="A61" s="16" t="n">
        <v>57</v>
      </c>
      <c r="B61" s="17" t="s">
        <v>162</v>
      </c>
      <c r="C61" s="5" t="n">
        <v>4</v>
      </c>
      <c r="D61" s="5" t="n">
        <v>18.75</v>
      </c>
      <c r="E61" s="6" t="n">
        <v>16.25</v>
      </c>
      <c r="F61" s="6" t="n">
        <v>9</v>
      </c>
      <c r="G61" s="5" t="n">
        <v>2850</v>
      </c>
      <c r="H61" s="6" t="n">
        <v>46.31</v>
      </c>
      <c r="I61" s="6" t="n">
        <v>46.31</v>
      </c>
      <c r="J61" s="6" t="n">
        <v>14.84</v>
      </c>
    </row>
    <row r="62" customFormat="false" ht="15" hidden="false" customHeight="false" outlineLevel="0" collapsed="false">
      <c r="A62" s="16" t="n">
        <v>58</v>
      </c>
      <c r="B62" s="17" t="s">
        <v>163</v>
      </c>
      <c r="C62" s="5" t="n">
        <v>4</v>
      </c>
      <c r="D62" s="5" t="n">
        <v>33.75</v>
      </c>
      <c r="E62" s="6" t="n">
        <v>82.25</v>
      </c>
      <c r="F62" s="6" t="n">
        <v>11.75</v>
      </c>
      <c r="G62" s="5" t="n">
        <v>2330</v>
      </c>
      <c r="H62" s="6" t="n">
        <v>191.64</v>
      </c>
      <c r="I62" s="6" t="n">
        <v>191.64</v>
      </c>
      <c r="J62" s="6" t="n">
        <v>21.84</v>
      </c>
    </row>
    <row r="63" customFormat="false" ht="15" hidden="false" customHeight="false" outlineLevel="0" collapsed="false">
      <c r="A63" s="16" t="n">
        <v>59</v>
      </c>
      <c r="B63" s="17" t="s">
        <v>164</v>
      </c>
      <c r="C63" s="5" t="n">
        <v>8</v>
      </c>
      <c r="D63" s="5" t="n">
        <v>17.5</v>
      </c>
      <c r="E63" s="6" t="n">
        <v>47.8</v>
      </c>
      <c r="F63" s="6" t="n">
        <v>6.25</v>
      </c>
      <c r="G63" s="5" t="n">
        <v>2080</v>
      </c>
      <c r="H63" s="6" t="n">
        <v>99.42</v>
      </c>
      <c r="I63" s="6" t="n">
        <v>99.42</v>
      </c>
      <c r="J63" s="6" t="n">
        <v>10.11</v>
      </c>
    </row>
    <row r="64" customFormat="false" ht="15" hidden="false" customHeight="false" outlineLevel="0" collapsed="false">
      <c r="A64" s="16" t="n">
        <v>60</v>
      </c>
      <c r="B64" s="17" t="s">
        <v>165</v>
      </c>
      <c r="C64" s="5" t="n">
        <v>6</v>
      </c>
      <c r="D64" s="5" t="n">
        <v>17</v>
      </c>
      <c r="E64" s="6" t="n">
        <v>54</v>
      </c>
      <c r="F64" s="6" t="n">
        <v>5.875</v>
      </c>
      <c r="G64" s="5" t="n">
        <v>3190</v>
      </c>
      <c r="H64" s="6" t="n">
        <v>172.9</v>
      </c>
      <c r="I64" s="6" t="n">
        <v>172.9</v>
      </c>
      <c r="J64" s="6" t="n">
        <v>15.06</v>
      </c>
    </row>
    <row r="65" customFormat="false" ht="15" hidden="false" customHeight="false" outlineLevel="0" collapsed="false">
      <c r="A65" s="16" t="n">
        <v>61</v>
      </c>
      <c r="B65" s="17" t="s">
        <v>166</v>
      </c>
      <c r="C65" s="5" t="n">
        <v>2</v>
      </c>
      <c r="D65" s="5" t="n">
        <v>57.5</v>
      </c>
      <c r="E65" s="6" t="n">
        <v>129.5</v>
      </c>
      <c r="F65" s="6" t="n">
        <v>17.5</v>
      </c>
      <c r="G65" s="5" t="n">
        <v>610</v>
      </c>
      <c r="H65" s="6" t="n">
        <v>79</v>
      </c>
      <c r="I65" s="6" t="n">
        <v>79</v>
      </c>
      <c r="J65" s="6" t="n">
        <v>9.74</v>
      </c>
    </row>
    <row r="66" customFormat="false" ht="15" hidden="false" customHeight="false" outlineLevel="0" collapsed="false">
      <c r="A66" s="16" t="n">
        <v>62</v>
      </c>
      <c r="B66" s="17" t="s">
        <v>167</v>
      </c>
      <c r="C66" s="5" t="n">
        <v>4</v>
      </c>
      <c r="D66" s="5" t="n">
        <v>29.5</v>
      </c>
      <c r="E66" s="6" t="n">
        <v>34</v>
      </c>
      <c r="F66" s="6" t="n">
        <v>8.25</v>
      </c>
      <c r="G66" s="5" t="n">
        <v>1820</v>
      </c>
      <c r="H66" s="6" t="n">
        <v>58.24</v>
      </c>
      <c r="I66" s="6" t="n">
        <v>58.24</v>
      </c>
      <c r="J66" s="6" t="n">
        <v>14.91</v>
      </c>
    </row>
    <row r="67" customFormat="false" ht="15" hidden="false" customHeight="false" outlineLevel="0" collapsed="false">
      <c r="A67" s="16" t="n">
        <v>63</v>
      </c>
      <c r="B67" s="17" t="s">
        <v>168</v>
      </c>
      <c r="C67" s="5" t="n">
        <v>4</v>
      </c>
      <c r="D67" s="5" t="n">
        <v>16.75</v>
      </c>
      <c r="E67" s="6" t="n">
        <v>20.5</v>
      </c>
      <c r="F67" s="6" t="n">
        <v>9.875</v>
      </c>
      <c r="G67" s="5" t="n">
        <v>3780</v>
      </c>
      <c r="H67" s="6" t="n">
        <v>77.5</v>
      </c>
      <c r="I67" s="6" t="n">
        <v>77.49</v>
      </c>
      <c r="J67" s="6" t="n">
        <v>17.59</v>
      </c>
    </row>
    <row r="68" customFormat="false" ht="15" hidden="false" customHeight="false" outlineLevel="0" collapsed="false">
      <c r="A68" s="16" t="n">
        <v>64</v>
      </c>
      <c r="B68" s="17" t="s">
        <v>169</v>
      </c>
      <c r="C68" s="5" t="n">
        <v>2</v>
      </c>
      <c r="D68" s="5" t="n">
        <v>55</v>
      </c>
      <c r="E68" s="6" t="n">
        <v>134</v>
      </c>
      <c r="F68" s="6" t="n">
        <v>35</v>
      </c>
      <c r="G68" s="5" t="n">
        <v>600</v>
      </c>
      <c r="H68" s="6" t="n">
        <v>80.4</v>
      </c>
      <c r="I68" s="6" t="n">
        <v>80.4</v>
      </c>
      <c r="J68" s="6" t="n">
        <v>9.17</v>
      </c>
    </row>
    <row r="69" customFormat="false" ht="15" hidden="false" customHeight="false" outlineLevel="0" collapsed="false">
      <c r="A69" s="16" t="n">
        <v>65</v>
      </c>
      <c r="B69" s="17" t="s">
        <v>170</v>
      </c>
      <c r="C69" s="5" t="n">
        <v>4</v>
      </c>
      <c r="D69" s="5" t="n">
        <v>32.5</v>
      </c>
      <c r="E69" s="6" t="n">
        <v>27</v>
      </c>
      <c r="F69" s="6" t="n">
        <v>6.1</v>
      </c>
      <c r="G69" s="5" t="n">
        <v>2170</v>
      </c>
      <c r="H69" s="6" t="n">
        <v>58.48</v>
      </c>
      <c r="I69" s="6" t="n">
        <v>58.48</v>
      </c>
      <c r="J69" s="6" t="n">
        <v>19.59</v>
      </c>
    </row>
    <row r="70" customFormat="false" ht="15" hidden="false" customHeight="false" outlineLevel="0" collapsed="false">
      <c r="A70" s="16" t="n">
        <v>66</v>
      </c>
      <c r="B70" s="17" t="s">
        <v>171</v>
      </c>
      <c r="C70" s="5" t="n">
        <v>4</v>
      </c>
      <c r="D70" s="5" t="n">
        <v>31.25</v>
      </c>
      <c r="E70" s="6" t="n">
        <v>52</v>
      </c>
      <c r="F70" s="6" t="n">
        <v>10.05</v>
      </c>
      <c r="G70" s="5" t="n">
        <v>2760</v>
      </c>
      <c r="H70" s="6" t="n">
        <v>141.31</v>
      </c>
      <c r="I70" s="6" t="n">
        <v>141.31</v>
      </c>
      <c r="J70" s="6" t="n">
        <v>23.96</v>
      </c>
    </row>
    <row r="71" customFormat="false" ht="15" hidden="false" customHeight="false" outlineLevel="0" collapsed="false">
      <c r="A71" s="16" t="n">
        <v>67</v>
      </c>
      <c r="B71" s="17" t="s">
        <v>172</v>
      </c>
      <c r="C71" s="5" t="n">
        <v>4</v>
      </c>
      <c r="D71" s="5" t="n">
        <v>29.5</v>
      </c>
      <c r="E71" s="6" t="n">
        <v>69</v>
      </c>
      <c r="F71" s="6" t="n">
        <v>8.725</v>
      </c>
      <c r="G71" s="5" t="n">
        <v>1980</v>
      </c>
      <c r="H71" s="6" t="n">
        <v>136.03</v>
      </c>
      <c r="I71" s="6" t="n">
        <v>136.03</v>
      </c>
      <c r="J71" s="6" t="n">
        <v>16.23</v>
      </c>
    </row>
    <row r="72" customFormat="false" ht="15" hidden="false" customHeight="false" outlineLevel="0" collapsed="false">
      <c r="A72" s="16" t="n">
        <v>68</v>
      </c>
      <c r="B72" s="17" t="s">
        <v>173</v>
      </c>
      <c r="C72" s="5" t="n">
        <v>8</v>
      </c>
      <c r="D72" s="5" t="n">
        <v>17.5</v>
      </c>
      <c r="E72" s="6" t="n">
        <v>104.8</v>
      </c>
      <c r="F72" s="6" t="n">
        <v>9.125</v>
      </c>
      <c r="G72" s="5" t="n">
        <v>1690</v>
      </c>
      <c r="H72" s="6" t="n">
        <v>177.11</v>
      </c>
      <c r="I72" s="6" t="n">
        <v>177.11</v>
      </c>
      <c r="J72" s="6" t="n">
        <v>8.22</v>
      </c>
    </row>
    <row r="73" customFormat="false" ht="15" hidden="false" customHeight="false" outlineLevel="0" collapsed="false">
      <c r="A73" s="16" t="n">
        <v>69</v>
      </c>
      <c r="B73" s="17" t="s">
        <v>174</v>
      </c>
      <c r="C73" s="5" t="n">
        <v>4</v>
      </c>
      <c r="D73" s="5" t="n">
        <v>28.75</v>
      </c>
      <c r="E73" s="6" t="n">
        <v>58</v>
      </c>
      <c r="F73" s="6" t="n">
        <v>16.125</v>
      </c>
      <c r="G73" s="5" t="n">
        <v>1610</v>
      </c>
      <c r="H73" s="6" t="n">
        <v>93.38</v>
      </c>
      <c r="I73" s="6" t="n">
        <v>93.38</v>
      </c>
      <c r="J73" s="6" t="n">
        <v>12.86</v>
      </c>
    </row>
    <row r="74" customFormat="false" ht="15" hidden="false" customHeight="false" outlineLevel="0" collapsed="false">
      <c r="A74" s="16" t="n">
        <v>70</v>
      </c>
      <c r="B74" s="17" t="s">
        <v>175</v>
      </c>
      <c r="C74" s="5" t="n">
        <v>4</v>
      </c>
      <c r="D74" s="5" t="n">
        <v>28.75</v>
      </c>
      <c r="E74" s="6" t="n">
        <v>58.6</v>
      </c>
      <c r="F74" s="6" t="n">
        <v>15.9375</v>
      </c>
      <c r="G74" s="5" t="n">
        <v>1770</v>
      </c>
      <c r="H74" s="6" t="n">
        <v>103.72</v>
      </c>
      <c r="I74" s="6" t="n">
        <v>103.72</v>
      </c>
      <c r="J74" s="6" t="n">
        <v>14.14</v>
      </c>
    </row>
    <row r="75" customFormat="false" ht="15" hidden="false" customHeight="false" outlineLevel="0" collapsed="false">
      <c r="A75" s="16" t="n">
        <v>71</v>
      </c>
      <c r="B75" s="17" t="s">
        <v>176</v>
      </c>
      <c r="C75" s="5" t="n">
        <v>4</v>
      </c>
      <c r="D75" s="5" t="n">
        <v>30</v>
      </c>
      <c r="E75" s="6" t="n">
        <v>71.4</v>
      </c>
      <c r="F75" s="6" t="n">
        <v>6.875</v>
      </c>
      <c r="G75" s="5" t="n">
        <v>550</v>
      </c>
      <c r="H75" s="6" t="n">
        <v>39.27</v>
      </c>
      <c r="I75" s="6" t="n">
        <v>39.27</v>
      </c>
      <c r="J75" s="6" t="n">
        <v>4.58</v>
      </c>
    </row>
    <row r="76" customFormat="false" ht="15" hidden="false" customHeight="false" outlineLevel="0" collapsed="false">
      <c r="A76" s="16" t="n">
        <v>72</v>
      </c>
      <c r="B76" s="17" t="s">
        <v>177</v>
      </c>
      <c r="C76" s="5" t="n">
        <v>6</v>
      </c>
      <c r="D76" s="5" t="n">
        <v>12.5</v>
      </c>
      <c r="E76" s="6" t="n">
        <v>29</v>
      </c>
      <c r="F76" s="6" t="n">
        <v>6.166666667</v>
      </c>
      <c r="G76" s="5" t="n">
        <v>4000</v>
      </c>
      <c r="H76" s="6" t="n">
        <v>112</v>
      </c>
      <c r="I76" s="6" t="n">
        <v>112</v>
      </c>
      <c r="J76" s="6" t="n">
        <v>13.89</v>
      </c>
    </row>
    <row r="77" customFormat="false" ht="15" hidden="false" customHeight="false" outlineLevel="0" collapsed="false">
      <c r="A77" s="16" t="n">
        <v>73</v>
      </c>
      <c r="B77" s="17" t="s">
        <v>178</v>
      </c>
      <c r="C77" s="5" t="n">
        <v>2</v>
      </c>
      <c r="D77" s="5" t="n">
        <v>75</v>
      </c>
      <c r="E77" s="6" t="n">
        <v>93.1</v>
      </c>
      <c r="F77" s="6" t="n">
        <v>19</v>
      </c>
      <c r="G77" s="5" t="n">
        <v>359</v>
      </c>
      <c r="H77" s="6" t="n">
        <v>33.42</v>
      </c>
      <c r="I77" s="6" t="n">
        <v>92.05</v>
      </c>
      <c r="J77" s="6" t="n">
        <v>7.48</v>
      </c>
    </row>
    <row r="78" customFormat="false" ht="15" hidden="false" customHeight="false" outlineLevel="0" collapsed="false">
      <c r="A78" s="16" t="n">
        <v>74</v>
      </c>
      <c r="B78" s="17" t="s">
        <v>179</v>
      </c>
      <c r="C78" s="5" t="n">
        <v>8</v>
      </c>
      <c r="D78" s="5" t="n">
        <v>16.125</v>
      </c>
      <c r="E78" s="6" t="n">
        <v>44</v>
      </c>
      <c r="F78" s="6" t="n">
        <v>10.625</v>
      </c>
      <c r="G78" s="5" t="n">
        <v>3240</v>
      </c>
      <c r="H78" s="6" t="n">
        <v>142.07</v>
      </c>
      <c r="I78" s="6" t="n">
        <v>142.07</v>
      </c>
      <c r="J78" s="6" t="n">
        <v>14.51</v>
      </c>
    </row>
    <row r="79" customFormat="false" ht="15" hidden="false" customHeight="false" outlineLevel="0" collapsed="false">
      <c r="A79" s="16" t="n">
        <v>75</v>
      </c>
      <c r="B79" s="17" t="s">
        <v>180</v>
      </c>
      <c r="C79" s="5" t="n">
        <v>3</v>
      </c>
      <c r="D79" s="5" t="n">
        <v>45</v>
      </c>
      <c r="E79" s="6" t="n">
        <v>50.9</v>
      </c>
      <c r="F79" s="6" t="n">
        <v>9</v>
      </c>
      <c r="G79" s="5" t="n">
        <v>1630</v>
      </c>
      <c r="H79" s="6" t="n">
        <v>82.96</v>
      </c>
      <c r="I79" s="6" t="n">
        <v>82.97</v>
      </c>
      <c r="J79" s="6" t="n">
        <v>20.38</v>
      </c>
    </row>
    <row r="80" customFormat="false" ht="15" hidden="false" customHeight="false" outlineLevel="0" collapsed="false">
      <c r="A80" s="16" t="n">
        <v>76</v>
      </c>
      <c r="B80" s="17" t="s">
        <v>181</v>
      </c>
      <c r="C80" s="5" t="n">
        <v>8</v>
      </c>
      <c r="D80" s="5" t="n">
        <v>14.375</v>
      </c>
      <c r="E80" s="6" t="n">
        <v>31</v>
      </c>
      <c r="F80" s="6" t="n">
        <v>5.65625</v>
      </c>
      <c r="G80" s="5" t="n">
        <v>3000</v>
      </c>
      <c r="H80" s="6" t="n">
        <v>89.25</v>
      </c>
      <c r="I80" s="6" t="n">
        <v>89.25</v>
      </c>
      <c r="J80" s="6" t="n">
        <v>11.98</v>
      </c>
    </row>
    <row r="81" customFormat="false" ht="15" hidden="false" customHeight="false" outlineLevel="0" collapsed="false">
      <c r="A81" s="16" t="n">
        <v>77</v>
      </c>
      <c r="B81" s="17" t="s">
        <v>182</v>
      </c>
      <c r="C81" s="5" t="n">
        <v>4</v>
      </c>
      <c r="D81" s="5" t="n">
        <v>36.25</v>
      </c>
      <c r="E81" s="6" t="n">
        <v>277</v>
      </c>
      <c r="F81" s="6" t="n">
        <v>11.25</v>
      </c>
      <c r="G81" s="5" t="n">
        <v>375</v>
      </c>
      <c r="H81" s="6" t="n">
        <v>103.88</v>
      </c>
      <c r="I81" s="6" t="n">
        <v>103.88</v>
      </c>
      <c r="J81" s="6" t="n">
        <v>3.78</v>
      </c>
    </row>
    <row r="82" customFormat="false" ht="15" hidden="false" customHeight="false" outlineLevel="0" collapsed="false">
      <c r="A82" s="16" t="n">
        <v>78</v>
      </c>
      <c r="B82" s="17" t="s">
        <v>183</v>
      </c>
      <c r="C82" s="5" t="n">
        <v>4</v>
      </c>
      <c r="D82" s="5" t="n">
        <v>40.5</v>
      </c>
      <c r="E82" s="6" t="n">
        <v>222</v>
      </c>
      <c r="F82" s="6" t="n">
        <v>10</v>
      </c>
      <c r="G82" s="5" t="n">
        <v>1350</v>
      </c>
      <c r="H82" s="6" t="n">
        <v>291.74</v>
      </c>
      <c r="I82" s="6" t="n">
        <v>291.74</v>
      </c>
      <c r="J82" s="6" t="n">
        <v>15.19</v>
      </c>
    </row>
    <row r="83" customFormat="false" ht="15" hidden="false" customHeight="false" outlineLevel="0" collapsed="false">
      <c r="A83" s="16" t="n">
        <v>79</v>
      </c>
      <c r="B83" s="17" t="s">
        <v>184</v>
      </c>
      <c r="C83" s="5" t="n">
        <v>2</v>
      </c>
      <c r="D83" s="5" t="n">
        <v>87</v>
      </c>
      <c r="E83" s="6" t="n">
        <v>211</v>
      </c>
      <c r="F83" s="6" t="n">
        <v>40</v>
      </c>
      <c r="G83" s="5" t="n">
        <v>600</v>
      </c>
      <c r="H83" s="6" t="n">
        <v>126.6</v>
      </c>
      <c r="I83" s="6" t="n">
        <v>126.6</v>
      </c>
      <c r="J83" s="6" t="n">
        <v>14.5</v>
      </c>
    </row>
    <row r="84" customFormat="false" ht="15" hidden="false" customHeight="false" outlineLevel="0" collapsed="false">
      <c r="A84" s="16" t="n">
        <v>80</v>
      </c>
      <c r="B84" s="17" t="s">
        <v>185</v>
      </c>
      <c r="C84" s="5" t="n">
        <v>2</v>
      </c>
      <c r="D84" s="5" t="n">
        <v>45</v>
      </c>
      <c r="E84" s="6" t="n">
        <v>134</v>
      </c>
      <c r="F84" s="6" t="n">
        <v>41.4</v>
      </c>
      <c r="G84" s="5" t="n">
        <v>1340</v>
      </c>
      <c r="H84" s="6" t="n">
        <v>173.47</v>
      </c>
      <c r="I84" s="6" t="n">
        <v>173.46</v>
      </c>
      <c r="J84" s="6" t="n">
        <v>16.75</v>
      </c>
    </row>
    <row r="85" customFormat="false" ht="15" hidden="false" customHeight="false" outlineLevel="0" collapsed="false">
      <c r="A85" s="16" t="n">
        <v>81</v>
      </c>
      <c r="B85" s="17" t="s">
        <v>186</v>
      </c>
      <c r="C85" s="5" t="n">
        <v>3</v>
      </c>
      <c r="D85" s="5" t="n">
        <v>40.66666667</v>
      </c>
      <c r="E85" s="6" t="n">
        <v>31</v>
      </c>
      <c r="F85" s="6" t="n">
        <v>9</v>
      </c>
      <c r="G85" s="5" t="n">
        <v>2190</v>
      </c>
      <c r="H85" s="6" t="n">
        <v>67.45</v>
      </c>
      <c r="I85" s="6" t="n">
        <v>67.45</v>
      </c>
      <c r="J85" s="6" t="n">
        <v>20.08</v>
      </c>
    </row>
    <row r="86" customFormat="false" ht="15" hidden="false" customHeight="false" outlineLevel="0" collapsed="false">
      <c r="A86" s="16" t="n">
        <v>82</v>
      </c>
      <c r="B86" s="17" t="s">
        <v>187</v>
      </c>
      <c r="C86" s="5" t="n">
        <v>4</v>
      </c>
      <c r="D86" s="5" t="n">
        <v>32.5</v>
      </c>
      <c r="E86" s="6" t="n">
        <v>33.5</v>
      </c>
      <c r="F86" s="6" t="n">
        <v>12.375</v>
      </c>
      <c r="G86" s="5" t="n">
        <v>2850</v>
      </c>
      <c r="H86" s="6" t="n">
        <v>95.48</v>
      </c>
      <c r="I86" s="6" t="n">
        <v>95.48</v>
      </c>
      <c r="J86" s="6" t="n">
        <v>25.73</v>
      </c>
    </row>
    <row r="87" customFormat="false" ht="15" hidden="false" customHeight="false" outlineLevel="0" collapsed="false">
      <c r="A87" s="16" t="n">
        <v>83</v>
      </c>
      <c r="B87" s="17" t="s">
        <v>188</v>
      </c>
      <c r="C87" s="5" t="n">
        <v>2</v>
      </c>
      <c r="D87" s="5" t="n">
        <v>67</v>
      </c>
      <c r="E87" s="6" t="n">
        <v>93</v>
      </c>
      <c r="F87" s="6" t="n">
        <v>19.75</v>
      </c>
      <c r="G87" s="5" t="n">
        <v>900</v>
      </c>
      <c r="H87" s="6" t="n">
        <v>83.7</v>
      </c>
      <c r="I87" s="6" t="n">
        <v>83.7</v>
      </c>
      <c r="J87" s="6" t="n">
        <v>16.75</v>
      </c>
    </row>
    <row r="88" customFormat="false" ht="15" hidden="false" customHeight="false" outlineLevel="0" collapsed="false">
      <c r="A88" s="16" t="n">
        <v>84</v>
      </c>
      <c r="B88" s="17" t="s">
        <v>97</v>
      </c>
      <c r="C88" s="5" t="n">
        <v>1</v>
      </c>
      <c r="D88" s="5" t="n">
        <v>143</v>
      </c>
      <c r="E88" s="6" t="n">
        <v>58.8</v>
      </c>
      <c r="F88" s="6" t="n">
        <v>29.1</v>
      </c>
      <c r="G88" s="5" t="n">
        <v>300</v>
      </c>
      <c r="H88" s="6" t="n">
        <v>17.64</v>
      </c>
      <c r="I88" s="6" t="n">
        <v>17.64</v>
      </c>
      <c r="J88" s="6" t="n">
        <v>11.92</v>
      </c>
    </row>
    <row r="89" customFormat="false" ht="15" hidden="false" customHeight="false" outlineLevel="0" collapsed="false">
      <c r="A89" s="16" t="n">
        <v>85</v>
      </c>
      <c r="B89" s="17" t="s">
        <v>189</v>
      </c>
      <c r="C89" s="5" t="n">
        <v>1</v>
      </c>
      <c r="D89" s="5" t="n">
        <v>143</v>
      </c>
      <c r="E89" s="6" t="n">
        <v>103.5</v>
      </c>
      <c r="F89" s="6" t="n">
        <v>29.1</v>
      </c>
      <c r="G89" s="5" t="n">
        <v>300</v>
      </c>
      <c r="H89" s="6" t="n">
        <v>31.05</v>
      </c>
      <c r="I89" s="6" t="n">
        <v>31.05</v>
      </c>
      <c r="J89" s="6" t="n">
        <v>11.92</v>
      </c>
    </row>
    <row r="90" customFormat="false" ht="15" hidden="false" customHeight="false" outlineLevel="0" collapsed="false">
      <c r="A90" s="16" t="n">
        <v>86</v>
      </c>
      <c r="B90" s="17" t="s">
        <v>167</v>
      </c>
      <c r="C90" s="5" t="n">
        <v>4</v>
      </c>
      <c r="D90" s="5" t="n">
        <v>29.5</v>
      </c>
      <c r="E90" s="6" t="n">
        <v>34</v>
      </c>
      <c r="F90" s="6" t="n">
        <v>8.25</v>
      </c>
      <c r="G90" s="5"/>
      <c r="H90" s="6"/>
      <c r="I90" s="6"/>
      <c r="J90" s="6"/>
    </row>
    <row r="91" customFormat="false" ht="15" hidden="false" customHeight="false" outlineLevel="0" collapsed="false">
      <c r="A91" s="16" t="n">
        <v>87</v>
      </c>
      <c r="B91" s="17" t="s">
        <v>97</v>
      </c>
      <c r="C91" s="5" t="n">
        <v>1</v>
      </c>
      <c r="D91" s="5" t="n">
        <v>143</v>
      </c>
      <c r="E91" s="6" t="n">
        <v>58.8</v>
      </c>
      <c r="F91" s="6" t="n">
        <v>29.1</v>
      </c>
      <c r="G91" s="5"/>
      <c r="H91" s="6"/>
      <c r="I91" s="6"/>
      <c r="J91" s="6"/>
    </row>
    <row r="92" customFormat="false" ht="15" hidden="false" customHeight="false" outlineLevel="0" collapsed="false">
      <c r="A92" s="16" t="n">
        <v>88</v>
      </c>
      <c r="B92" s="17" t="s">
        <v>189</v>
      </c>
      <c r="C92" s="5" t="n">
        <v>1</v>
      </c>
      <c r="D92" s="5" t="n">
        <v>143</v>
      </c>
      <c r="E92" s="6" t="n">
        <v>103.5</v>
      </c>
      <c r="F92" s="6" t="n">
        <v>29.1</v>
      </c>
      <c r="G92" s="5"/>
      <c r="H92" s="6"/>
      <c r="I92" s="6"/>
      <c r="J92" s="6"/>
    </row>
    <row r="93" customFormat="false" ht="15" hidden="false" customHeight="false" outlineLevel="0" collapsed="false">
      <c r="A93" s="16" t="n">
        <v>89</v>
      </c>
      <c r="B93" s="17" t="s">
        <v>190</v>
      </c>
      <c r="C93" s="5" t="n">
        <v>4</v>
      </c>
      <c r="D93" s="5" t="n">
        <v>43</v>
      </c>
      <c r="E93" s="6" t="n">
        <v>165</v>
      </c>
      <c r="F93" s="6" t="n">
        <v>8.75</v>
      </c>
      <c r="G93" s="5"/>
      <c r="H93" s="6"/>
      <c r="I93" s="6"/>
      <c r="J93" s="6"/>
    </row>
    <row r="94" customFormat="false" ht="15" hidden="false" customHeight="false" outlineLevel="0" collapsed="false">
      <c r="A94" s="16" t="n">
        <v>90</v>
      </c>
      <c r="B94" s="17" t="s">
        <v>191</v>
      </c>
      <c r="C94" s="5" t="n">
        <v>2</v>
      </c>
      <c r="D94" s="5" t="n">
        <v>57.5</v>
      </c>
      <c r="E94" s="6" t="n">
        <v>97</v>
      </c>
      <c r="F94" s="6" t="n">
        <v>15.75</v>
      </c>
      <c r="G94" s="5"/>
      <c r="H94" s="6"/>
      <c r="I94" s="6"/>
      <c r="J94" s="6"/>
    </row>
    <row r="95" customFormat="false" ht="15" hidden="false" customHeight="false" outlineLevel="0" collapsed="false">
      <c r="A95" s="16" t="n">
        <v>91</v>
      </c>
      <c r="B95" s="17" t="s">
        <v>146</v>
      </c>
      <c r="C95" s="5" t="n">
        <v>4</v>
      </c>
      <c r="D95" s="5" t="n">
        <v>28</v>
      </c>
      <c r="E95" s="6" t="n">
        <v>130.8</v>
      </c>
      <c r="F95" s="6" t="n">
        <v>13.025</v>
      </c>
      <c r="G95" s="5"/>
      <c r="H95" s="6"/>
      <c r="I95" s="6"/>
      <c r="J95" s="6"/>
    </row>
    <row r="96" customFormat="false" ht="15" hidden="false" customHeight="false" outlineLevel="0" collapsed="false">
      <c r="A96" s="16" t="n">
        <v>92</v>
      </c>
      <c r="B96" s="17" t="s">
        <v>192</v>
      </c>
      <c r="C96" s="5" t="n">
        <v>4</v>
      </c>
      <c r="D96" s="5" t="n">
        <v>30</v>
      </c>
      <c r="E96" s="6" t="n">
        <v>99</v>
      </c>
      <c r="F96" s="6" t="n">
        <v>10.75</v>
      </c>
      <c r="G96" s="5"/>
      <c r="H96" s="6"/>
      <c r="I96" s="6"/>
      <c r="J96" s="6"/>
    </row>
    <row r="97" customFormat="false" ht="15" hidden="false" customHeight="false" outlineLevel="0" collapsed="false">
      <c r="A97" s="16" t="n">
        <v>93</v>
      </c>
      <c r="B97" s="17" t="s">
        <v>149</v>
      </c>
      <c r="C97" s="5" t="n">
        <v>4</v>
      </c>
      <c r="D97" s="5" t="n">
        <v>28.045</v>
      </c>
      <c r="E97" s="6" t="n">
        <v>42</v>
      </c>
      <c r="F97" s="6" t="n">
        <v>8.4375</v>
      </c>
      <c r="G97" s="5"/>
      <c r="H97" s="6"/>
      <c r="I97" s="6"/>
      <c r="J97" s="6"/>
    </row>
    <row r="98" customFormat="false" ht="15" hidden="false" customHeight="false" outlineLevel="0" collapsed="false">
      <c r="A98" s="16" t="n">
        <v>94</v>
      </c>
      <c r="B98" s="17" t="s">
        <v>153</v>
      </c>
      <c r="C98" s="5" t="n">
        <v>4</v>
      </c>
      <c r="D98" s="5" t="n">
        <v>26</v>
      </c>
      <c r="E98" s="6" t="n">
        <v>30.45</v>
      </c>
      <c r="F98" s="6" t="n">
        <v>7.75</v>
      </c>
      <c r="G98" s="5"/>
      <c r="H98" s="6"/>
      <c r="I98" s="6"/>
      <c r="J98" s="6"/>
    </row>
    <row r="99" customFormat="false" ht="15" hidden="false" customHeight="false" outlineLevel="0" collapsed="false">
      <c r="A99" s="16" t="n">
        <v>95</v>
      </c>
      <c r="B99" s="17" t="s">
        <v>193</v>
      </c>
      <c r="C99" s="5" t="n">
        <v>4</v>
      </c>
      <c r="D99" s="5" t="n">
        <v>25.25</v>
      </c>
      <c r="E99" s="6" t="n">
        <v>92</v>
      </c>
      <c r="F99" s="6" t="n">
        <v>8.0875</v>
      </c>
      <c r="G99" s="5"/>
      <c r="H99" s="6"/>
      <c r="I99" s="6"/>
      <c r="J99" s="6"/>
    </row>
    <row r="100" customFormat="false" ht="15" hidden="false" customHeight="false" outlineLevel="0" collapsed="false">
      <c r="A100" s="16" t="n">
        <v>96</v>
      </c>
      <c r="B100" s="17" t="s">
        <v>194</v>
      </c>
      <c r="C100" s="5" t="n">
        <v>4</v>
      </c>
      <c r="D100" s="5" t="n">
        <v>41</v>
      </c>
      <c r="E100" s="6" t="n">
        <v>133.85</v>
      </c>
      <c r="F100" s="6" t="n">
        <v>10.7</v>
      </c>
      <c r="G100" s="5"/>
      <c r="H100" s="6"/>
      <c r="I100" s="6"/>
      <c r="J100" s="6"/>
    </row>
    <row r="101" customFormat="false" ht="15" hidden="false" customHeight="false" outlineLevel="0" collapsed="false">
      <c r="A101" s="16" t="n">
        <v>97</v>
      </c>
      <c r="B101" s="17" t="s">
        <v>195</v>
      </c>
      <c r="C101" s="5" t="n">
        <v>8</v>
      </c>
      <c r="D101" s="5" t="n">
        <v>12.25</v>
      </c>
      <c r="E101" s="6" t="n">
        <v>20.55</v>
      </c>
      <c r="F101" s="6" t="n">
        <v>6.75</v>
      </c>
      <c r="G101" s="5"/>
      <c r="H101" s="6"/>
      <c r="I101" s="6"/>
      <c r="J101" s="6"/>
    </row>
    <row r="102" customFormat="false" ht="15" hidden="false" customHeight="false" outlineLevel="0" collapsed="false">
      <c r="A102" s="16" t="n">
        <v>98</v>
      </c>
      <c r="B102" s="17" t="s">
        <v>181</v>
      </c>
      <c r="C102" s="5" t="n">
        <v>8</v>
      </c>
      <c r="D102" s="5" t="n">
        <v>14.375</v>
      </c>
      <c r="E102" s="6" t="n">
        <v>31</v>
      </c>
      <c r="F102" s="6" t="n">
        <v>5.65625</v>
      </c>
      <c r="G102" s="5"/>
      <c r="H102" s="6"/>
      <c r="I102" s="6"/>
      <c r="J102" s="6"/>
    </row>
    <row r="103" customFormat="false" ht="15" hidden="false" customHeight="false" outlineLevel="0" collapsed="false">
      <c r="A103" s="16" t="n">
        <v>99</v>
      </c>
      <c r="B103" s="17" t="s">
        <v>196</v>
      </c>
      <c r="C103" s="5" t="n">
        <v>8</v>
      </c>
      <c r="D103" s="5" t="n">
        <v>8.75</v>
      </c>
      <c r="E103" s="6" t="n">
        <v>27.025</v>
      </c>
      <c r="F103" s="6" t="n">
        <v>8.95</v>
      </c>
      <c r="G103" s="5"/>
      <c r="H103" s="6"/>
      <c r="I103" s="6"/>
      <c r="J103" s="6"/>
    </row>
    <row r="104" customFormat="false" ht="15" hidden="false" customHeight="false" outlineLevel="0" collapsed="false">
      <c r="A104" s="16" t="n">
        <v>100</v>
      </c>
      <c r="B104" s="17" t="s">
        <v>169</v>
      </c>
      <c r="C104" s="5" t="n">
        <v>2</v>
      </c>
      <c r="D104" s="5" t="n">
        <v>55</v>
      </c>
      <c r="E104" s="6" t="n">
        <v>134</v>
      </c>
      <c r="F104" s="6" t="n">
        <v>35</v>
      </c>
      <c r="G104" s="5"/>
      <c r="H104" s="6"/>
      <c r="I104" s="6"/>
      <c r="J104" s="6"/>
    </row>
    <row r="105" customFormat="false" ht="15" hidden="false" customHeight="false" outlineLevel="0" collapsed="false">
      <c r="A105" s="16" t="n">
        <v>101</v>
      </c>
      <c r="B105" s="17" t="s">
        <v>197</v>
      </c>
      <c r="C105" s="5" t="n">
        <v>12</v>
      </c>
      <c r="D105" s="5" t="n">
        <v>9.416666667</v>
      </c>
      <c r="E105" s="6" t="n">
        <v>21</v>
      </c>
      <c r="F105" s="6" t="n">
        <v>6.591666667</v>
      </c>
      <c r="G105" s="5"/>
      <c r="H105" s="6"/>
      <c r="I105" s="6"/>
      <c r="J105" s="6"/>
    </row>
    <row r="106" customFormat="false" ht="15" hidden="false" customHeight="false" outlineLevel="0" collapsed="false">
      <c r="A106" s="18" t="s">
        <v>14</v>
      </c>
      <c r="B106" s="18"/>
      <c r="C106" s="18"/>
      <c r="D106" s="18"/>
      <c r="E106" s="18"/>
      <c r="F106" s="18"/>
      <c r="G106" s="19" t="n">
        <f aca="false">SUM(G5:G105)</f>
        <v>454396</v>
      </c>
      <c r="H106" s="20" t="n">
        <f aca="false">SUM(H5:H105)</f>
        <v>27796.29</v>
      </c>
      <c r="I106" s="20" t="n">
        <f aca="false">SUM(I5:I105)</f>
        <v>29983.37</v>
      </c>
      <c r="J106" s="20" t="n">
        <f aca="false">SUM(J5:J105)</f>
        <v>2749.99</v>
      </c>
    </row>
  </sheetData>
  <mergeCells count="3">
    <mergeCell ref="A1:J1"/>
    <mergeCell ref="A2:J2"/>
    <mergeCell ref="A106:F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10" min="9" style="0" width="16"/>
  </cols>
  <sheetData>
    <row r="1" customFormat="false" ht="15" hidden="false" customHeight="false" outlineLevel="0" collapsed="false">
      <c r="A1" s="14" t="s">
        <v>198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15" hidden="false" customHeight="false" outlineLevel="0" collapsed="false">
      <c r="A2" s="15" t="s">
        <v>199</v>
      </c>
      <c r="B2" s="15"/>
      <c r="C2" s="15"/>
      <c r="D2" s="15"/>
      <c r="E2" s="15"/>
      <c r="F2" s="15"/>
      <c r="G2" s="15"/>
      <c r="H2" s="15"/>
      <c r="I2" s="15"/>
      <c r="J2" s="15"/>
    </row>
    <row r="4" customFormat="false" ht="23.85" hidden="false" customHeight="fals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5</v>
      </c>
      <c r="H4" s="3" t="s">
        <v>6</v>
      </c>
      <c r="I4" s="3" t="s">
        <v>29</v>
      </c>
      <c r="J4" s="3" t="s">
        <v>7</v>
      </c>
    </row>
    <row r="5" customFormat="false" ht="15" hidden="false" customHeight="false" outlineLevel="0" collapsed="false">
      <c r="A5" s="16" t="n">
        <v>1</v>
      </c>
      <c r="B5" s="17" t="s">
        <v>200</v>
      </c>
      <c r="C5" s="5" t="n">
        <v>4</v>
      </c>
      <c r="D5" s="5" t="n">
        <v>24.5</v>
      </c>
      <c r="E5" s="6" t="n">
        <v>43.5</v>
      </c>
      <c r="F5" s="6" t="n">
        <v>8.5</v>
      </c>
      <c r="G5" s="5" t="n">
        <v>19400</v>
      </c>
      <c r="H5" s="6" t="n">
        <v>820.62</v>
      </c>
      <c r="I5" s="6" t="n">
        <v>820.62</v>
      </c>
      <c r="J5" s="6" t="n">
        <v>132.03</v>
      </c>
    </row>
    <row r="6" customFormat="false" ht="15" hidden="false" customHeight="false" outlineLevel="0" collapsed="false">
      <c r="A6" s="16" t="n">
        <v>2</v>
      </c>
      <c r="B6" s="17" t="s">
        <v>201</v>
      </c>
      <c r="C6" s="5" t="n">
        <v>2</v>
      </c>
      <c r="D6" s="5" t="n">
        <v>62.5</v>
      </c>
      <c r="E6" s="6" t="n">
        <v>141</v>
      </c>
      <c r="F6" s="6" t="n">
        <v>16.4</v>
      </c>
      <c r="G6" s="5" t="n">
        <v>2610</v>
      </c>
      <c r="H6" s="6" t="n">
        <v>368.01</v>
      </c>
      <c r="I6" s="6" t="n">
        <v>368.01</v>
      </c>
      <c r="J6" s="6" t="n">
        <v>45.31</v>
      </c>
    </row>
    <row r="7" customFormat="false" ht="15" hidden="false" customHeight="false" outlineLevel="0" collapsed="false">
      <c r="A7" s="16" t="n">
        <v>3</v>
      </c>
      <c r="B7" s="17" t="s">
        <v>202</v>
      </c>
      <c r="C7" s="5" t="n">
        <v>1</v>
      </c>
      <c r="D7" s="5" t="n">
        <v>128</v>
      </c>
      <c r="E7" s="6" t="n">
        <v>483</v>
      </c>
      <c r="F7" s="6" t="n">
        <v>39</v>
      </c>
      <c r="G7" s="5" t="n">
        <v>630</v>
      </c>
      <c r="H7" s="6" t="n">
        <v>302.4</v>
      </c>
      <c r="I7" s="6" t="n">
        <v>302.4</v>
      </c>
      <c r="J7" s="6" t="n">
        <v>22.4</v>
      </c>
    </row>
    <row r="8" customFormat="false" ht="15" hidden="false" customHeight="false" outlineLevel="0" collapsed="false">
      <c r="A8" s="16" t="n">
        <v>4</v>
      </c>
      <c r="B8" s="17" t="s">
        <v>203</v>
      </c>
      <c r="C8" s="5" t="n">
        <v>2</v>
      </c>
      <c r="D8" s="5" t="n">
        <v>71.5</v>
      </c>
      <c r="E8" s="6" t="n">
        <v>289</v>
      </c>
      <c r="F8" s="6" t="n">
        <v>23</v>
      </c>
      <c r="G8" s="5" t="n">
        <v>1188</v>
      </c>
      <c r="H8" s="6" t="n">
        <v>333.83</v>
      </c>
      <c r="I8" s="6" t="n">
        <v>333.83</v>
      </c>
      <c r="J8" s="6" t="n">
        <v>23.6</v>
      </c>
    </row>
    <row r="9" customFormat="false" ht="15" hidden="false" customHeight="false" outlineLevel="0" collapsed="false">
      <c r="A9" s="16" t="n">
        <v>5</v>
      </c>
      <c r="B9" s="17" t="s">
        <v>204</v>
      </c>
      <c r="C9" s="5" t="n">
        <v>1</v>
      </c>
      <c r="D9" s="5" t="n">
        <v>116</v>
      </c>
      <c r="E9" s="6" t="n">
        <v>346</v>
      </c>
      <c r="F9" s="6" t="n">
        <v>42</v>
      </c>
      <c r="G9" s="5" t="n">
        <v>3900</v>
      </c>
      <c r="H9" s="6" t="n">
        <v>1302.6</v>
      </c>
      <c r="I9" s="6" t="n">
        <v>1302.6</v>
      </c>
      <c r="J9" s="6" t="n">
        <v>125.67</v>
      </c>
    </row>
    <row r="10" customFormat="false" ht="15" hidden="false" customHeight="false" outlineLevel="0" collapsed="false">
      <c r="A10" s="16" t="n">
        <v>6</v>
      </c>
      <c r="B10" s="17" t="s">
        <v>205</v>
      </c>
      <c r="C10" s="5" t="n">
        <v>1</v>
      </c>
      <c r="D10" s="5" t="n">
        <v>114</v>
      </c>
      <c r="E10" s="6" t="n">
        <v>275</v>
      </c>
      <c r="F10" s="6" t="n">
        <v>42</v>
      </c>
      <c r="G10" s="5" t="n">
        <v>8070</v>
      </c>
      <c r="H10" s="6" t="n">
        <v>2154.69</v>
      </c>
      <c r="I10" s="6" t="n">
        <v>2154.69</v>
      </c>
      <c r="J10" s="6" t="n">
        <v>255.55</v>
      </c>
    </row>
    <row r="11" customFormat="false" ht="15" hidden="false" customHeight="false" outlineLevel="0" collapsed="false">
      <c r="A11" s="16" t="n">
        <v>7</v>
      </c>
      <c r="B11" s="17" t="s">
        <v>206</v>
      </c>
      <c r="C11" s="5" t="n">
        <v>2</v>
      </c>
      <c r="D11" s="5" t="n">
        <v>62.5</v>
      </c>
      <c r="E11" s="6" t="n">
        <v>399</v>
      </c>
      <c r="F11" s="6" t="n">
        <v>31.5</v>
      </c>
      <c r="G11" s="5" t="n">
        <v>16270</v>
      </c>
      <c r="H11" s="6" t="n">
        <v>6491.73</v>
      </c>
      <c r="I11" s="6" t="n">
        <v>6491.73</v>
      </c>
      <c r="J11" s="6" t="n">
        <v>282.47</v>
      </c>
    </row>
    <row r="12" customFormat="false" ht="15" hidden="false" customHeight="false" outlineLevel="0" collapsed="false">
      <c r="A12" s="16" t="n">
        <v>8</v>
      </c>
      <c r="B12" s="17" t="s">
        <v>207</v>
      </c>
      <c r="C12" s="5" t="n">
        <v>1</v>
      </c>
      <c r="D12" s="5" t="n">
        <v>170</v>
      </c>
      <c r="E12" s="6" t="n">
        <v>555</v>
      </c>
      <c r="F12" s="6" t="n">
        <v>35</v>
      </c>
      <c r="G12" s="5" t="n">
        <v>8175</v>
      </c>
      <c r="H12" s="6" t="n">
        <v>4349.1</v>
      </c>
      <c r="I12" s="6" t="n">
        <v>4349.1</v>
      </c>
      <c r="J12" s="6" t="n">
        <v>386.04</v>
      </c>
    </row>
    <row r="13" customFormat="false" ht="15" hidden="false" customHeight="false" outlineLevel="0" collapsed="false">
      <c r="A13" s="16" t="n">
        <v>9</v>
      </c>
      <c r="B13" s="17" t="s">
        <v>208</v>
      </c>
      <c r="C13" s="5" t="n">
        <v>1</v>
      </c>
      <c r="D13" s="5" t="n">
        <v>90</v>
      </c>
      <c r="E13" s="6" t="n">
        <v>296</v>
      </c>
      <c r="F13" s="6"/>
      <c r="G13" s="5" t="n">
        <v>2808</v>
      </c>
      <c r="H13" s="6" t="n">
        <v>831.18</v>
      </c>
      <c r="I13" s="6" t="n">
        <v>831.17</v>
      </c>
      <c r="J13" s="6" t="n">
        <v>70.2</v>
      </c>
    </row>
    <row r="14" customFormat="false" ht="15" hidden="false" customHeight="false" outlineLevel="0" collapsed="false">
      <c r="A14" s="16" t="n">
        <v>10</v>
      </c>
      <c r="B14" s="17" t="s">
        <v>209</v>
      </c>
      <c r="C14" s="5" t="n">
        <v>1</v>
      </c>
      <c r="D14" s="5" t="n">
        <v>120</v>
      </c>
      <c r="E14" s="6" t="n">
        <v>225.3</v>
      </c>
      <c r="F14" s="6" t="n">
        <v>41</v>
      </c>
      <c r="G14" s="5" t="n">
        <v>3300</v>
      </c>
      <c r="H14" s="6" t="n">
        <v>743.49</v>
      </c>
      <c r="I14" s="6" t="n">
        <v>743.49</v>
      </c>
      <c r="J14" s="6" t="n">
        <v>110</v>
      </c>
    </row>
    <row r="15" customFormat="false" ht="15" hidden="false" customHeight="false" outlineLevel="0" collapsed="false">
      <c r="A15" s="16" t="n">
        <v>11</v>
      </c>
      <c r="B15" s="17" t="s">
        <v>210</v>
      </c>
      <c r="C15" s="5" t="n">
        <v>2</v>
      </c>
      <c r="D15" s="5" t="n">
        <v>61</v>
      </c>
      <c r="E15" s="6" t="n">
        <v>45</v>
      </c>
      <c r="F15" s="6" t="n">
        <v>8</v>
      </c>
      <c r="G15" s="5" t="n">
        <v>1190</v>
      </c>
      <c r="H15" s="6" t="n">
        <v>53.55</v>
      </c>
      <c r="I15" s="6" t="n">
        <v>53.55</v>
      </c>
      <c r="J15" s="6" t="n">
        <v>20.16</v>
      </c>
    </row>
    <row r="16" customFormat="false" ht="15" hidden="false" customHeight="false" outlineLevel="0" collapsed="false">
      <c r="A16" s="16" t="n">
        <v>12</v>
      </c>
      <c r="B16" s="17" t="s">
        <v>211</v>
      </c>
      <c r="C16" s="5" t="n">
        <v>1</v>
      </c>
      <c r="D16" s="5" t="n">
        <v>116</v>
      </c>
      <c r="E16" s="6" t="n">
        <v>205</v>
      </c>
      <c r="F16" s="6" t="n">
        <v>40</v>
      </c>
      <c r="G16" s="5" t="n">
        <v>5650</v>
      </c>
      <c r="H16" s="6" t="n">
        <v>1113.05</v>
      </c>
      <c r="I16" s="6" t="n">
        <v>1113.05</v>
      </c>
      <c r="J16" s="6" t="n">
        <v>182.06</v>
      </c>
    </row>
    <row r="17" customFormat="false" ht="15" hidden="false" customHeight="false" outlineLevel="0" collapsed="false">
      <c r="A17" s="16" t="n">
        <v>13</v>
      </c>
      <c r="B17" s="17" t="s">
        <v>212</v>
      </c>
      <c r="C17" s="5" t="n">
        <v>1</v>
      </c>
      <c r="D17" s="5" t="n">
        <v>121</v>
      </c>
      <c r="E17" s="6" t="n">
        <v>344</v>
      </c>
      <c r="F17" s="6" t="n">
        <v>32</v>
      </c>
      <c r="G17" s="5" t="n">
        <v>1358</v>
      </c>
      <c r="H17" s="6" t="n">
        <v>467.15</v>
      </c>
      <c r="I17" s="6" t="n">
        <v>467.15</v>
      </c>
      <c r="J17" s="6" t="n">
        <v>45.64</v>
      </c>
    </row>
    <row r="18" customFormat="false" ht="15" hidden="false" customHeight="false" outlineLevel="0" collapsed="false">
      <c r="A18" s="16" t="n">
        <v>14</v>
      </c>
      <c r="B18" s="17" t="s">
        <v>213</v>
      </c>
      <c r="C18" s="5" t="n">
        <v>1</v>
      </c>
      <c r="D18" s="5" t="n">
        <v>184</v>
      </c>
      <c r="E18" s="6" t="n">
        <v>614</v>
      </c>
      <c r="F18" s="6" t="n">
        <v>28</v>
      </c>
      <c r="G18" s="5" t="n">
        <v>408</v>
      </c>
      <c r="H18" s="6" t="n">
        <v>250.51</v>
      </c>
      <c r="I18" s="6" t="n">
        <v>250.51</v>
      </c>
      <c r="J18" s="6" t="n">
        <v>20.85</v>
      </c>
    </row>
    <row r="19" customFormat="false" ht="15" hidden="false" customHeight="false" outlineLevel="0" collapsed="false">
      <c r="A19" s="16" t="n">
        <v>15</v>
      </c>
      <c r="B19" s="17" t="s">
        <v>214</v>
      </c>
      <c r="C19" s="5" t="n">
        <v>1</v>
      </c>
      <c r="D19" s="5" t="n">
        <v>118</v>
      </c>
      <c r="E19" s="6" t="n">
        <v>174</v>
      </c>
      <c r="F19" s="6" t="n">
        <v>33.5</v>
      </c>
      <c r="G19" s="5" t="n">
        <v>5550</v>
      </c>
      <c r="H19" s="6" t="n">
        <v>937.99</v>
      </c>
      <c r="I19" s="6" t="n">
        <v>937.95</v>
      </c>
      <c r="J19" s="6" t="n">
        <v>181.92</v>
      </c>
    </row>
    <row r="20" customFormat="false" ht="15" hidden="false" customHeight="false" outlineLevel="0" collapsed="false">
      <c r="A20" s="16" t="n">
        <v>16</v>
      </c>
      <c r="B20" s="17" t="s">
        <v>215</v>
      </c>
      <c r="C20" s="5" t="n">
        <v>1</v>
      </c>
      <c r="D20" s="5" t="n">
        <v>129</v>
      </c>
      <c r="E20" s="6" t="n">
        <v>432</v>
      </c>
      <c r="F20" s="6" t="n">
        <v>43.3</v>
      </c>
      <c r="G20" s="5" t="n">
        <v>3852</v>
      </c>
      <c r="H20" s="6" t="n">
        <v>1573.57</v>
      </c>
      <c r="I20" s="6" t="n">
        <v>1573.54</v>
      </c>
      <c r="J20" s="6" t="n">
        <v>138.03</v>
      </c>
    </row>
    <row r="21" customFormat="false" ht="15" hidden="false" customHeight="false" outlineLevel="0" collapsed="false">
      <c r="A21" s="16" t="n">
        <v>17</v>
      </c>
      <c r="B21" s="17" t="s">
        <v>216</v>
      </c>
      <c r="C21" s="5" t="n">
        <v>2</v>
      </c>
      <c r="D21" s="5" t="n">
        <v>45</v>
      </c>
      <c r="E21" s="6" t="n">
        <v>85</v>
      </c>
      <c r="F21" s="6" t="n">
        <v>9</v>
      </c>
      <c r="G21" s="5" t="n">
        <v>5408</v>
      </c>
      <c r="H21" s="6" t="n">
        <v>445.09</v>
      </c>
      <c r="I21" s="6" t="n">
        <v>445.08</v>
      </c>
      <c r="J21" s="6" t="n">
        <v>67.6</v>
      </c>
    </row>
    <row r="22" customFormat="false" ht="15" hidden="false" customHeight="false" outlineLevel="0" collapsed="false">
      <c r="A22" s="16" t="n">
        <v>18</v>
      </c>
      <c r="B22" s="17" t="s">
        <v>217</v>
      </c>
      <c r="C22" s="5" t="n">
        <v>1</v>
      </c>
      <c r="D22" s="5" t="n">
        <v>122</v>
      </c>
      <c r="E22" s="6" t="n">
        <v>232</v>
      </c>
      <c r="F22" s="6" t="n">
        <v>26.5</v>
      </c>
      <c r="G22" s="5" t="n">
        <v>420</v>
      </c>
      <c r="H22" s="6" t="n">
        <v>97.44</v>
      </c>
      <c r="I22" s="6" t="n">
        <v>97.44</v>
      </c>
      <c r="J22" s="6" t="n">
        <v>14.23</v>
      </c>
    </row>
    <row r="23" customFormat="false" ht="15" hidden="false" customHeight="false" outlineLevel="0" collapsed="false">
      <c r="A23" s="16" t="n">
        <v>19</v>
      </c>
      <c r="B23" s="17" t="s">
        <v>218</v>
      </c>
      <c r="C23" s="5" t="n">
        <v>1</v>
      </c>
      <c r="D23" s="5" t="n">
        <v>102</v>
      </c>
      <c r="E23" s="6" t="n">
        <v>165</v>
      </c>
      <c r="F23" s="6" t="n">
        <v>25</v>
      </c>
      <c r="G23" s="5" t="n">
        <v>1260</v>
      </c>
      <c r="H23" s="6" t="n">
        <v>207.9</v>
      </c>
      <c r="I23" s="6" t="n">
        <v>207.9</v>
      </c>
      <c r="J23" s="6" t="n">
        <v>35.7</v>
      </c>
    </row>
    <row r="24" customFormat="false" ht="15" hidden="false" customHeight="false" outlineLevel="0" collapsed="false">
      <c r="A24" s="16" t="n">
        <v>20</v>
      </c>
      <c r="B24" s="17" t="s">
        <v>219</v>
      </c>
      <c r="C24" s="5" t="n">
        <v>1</v>
      </c>
      <c r="D24" s="5" t="n">
        <v>103</v>
      </c>
      <c r="E24" s="6" t="n">
        <v>330</v>
      </c>
      <c r="F24" s="6" t="n">
        <v>30</v>
      </c>
      <c r="G24" s="5" t="n">
        <v>1225</v>
      </c>
      <c r="H24" s="6" t="n">
        <v>400.58</v>
      </c>
      <c r="I24" s="6" t="n">
        <v>400.58</v>
      </c>
      <c r="J24" s="6" t="n">
        <v>35.05</v>
      </c>
    </row>
    <row r="25" customFormat="false" ht="15" hidden="false" customHeight="false" outlineLevel="0" collapsed="false">
      <c r="A25" s="16" t="n">
        <v>21</v>
      </c>
      <c r="B25" s="17" t="s">
        <v>220</v>
      </c>
      <c r="C25" s="5" t="n">
        <v>1</v>
      </c>
      <c r="D25" s="5" t="n">
        <v>110</v>
      </c>
      <c r="E25" s="6" t="n">
        <v>452.5</v>
      </c>
      <c r="F25" s="6" t="n">
        <v>28.5</v>
      </c>
      <c r="G25" s="5" t="n">
        <v>675</v>
      </c>
      <c r="H25" s="6" t="n">
        <v>305.45</v>
      </c>
      <c r="I25" s="6" t="n">
        <v>305.44</v>
      </c>
      <c r="J25" s="6" t="n">
        <v>20.63</v>
      </c>
    </row>
    <row r="26" customFormat="false" ht="15" hidden="false" customHeight="false" outlineLevel="0" collapsed="false">
      <c r="A26" s="16" t="n">
        <v>22</v>
      </c>
      <c r="B26" s="17" t="s">
        <v>221</v>
      </c>
      <c r="C26" s="5" t="n">
        <v>1</v>
      </c>
      <c r="D26" s="5" t="n">
        <v>170</v>
      </c>
      <c r="E26" s="6" t="n">
        <v>600</v>
      </c>
      <c r="F26" s="6" t="n">
        <v>28</v>
      </c>
      <c r="G26" s="5" t="n">
        <v>612</v>
      </c>
      <c r="H26" s="6" t="n">
        <v>359.25</v>
      </c>
      <c r="I26" s="6" t="n">
        <v>359.24</v>
      </c>
      <c r="J26" s="6" t="n">
        <v>28.9</v>
      </c>
    </row>
    <row r="27" customFormat="false" ht="15" hidden="false" customHeight="false" outlineLevel="0" collapsed="false">
      <c r="A27" s="16" t="n">
        <v>23</v>
      </c>
      <c r="B27" s="17" t="s">
        <v>222</v>
      </c>
      <c r="C27" s="5" t="n">
        <v>2</v>
      </c>
      <c r="D27" s="5" t="n">
        <v>45</v>
      </c>
      <c r="E27" s="6" t="n">
        <v>99.5</v>
      </c>
      <c r="F27" s="6" t="n">
        <v>12.75</v>
      </c>
      <c r="G27" s="5" t="n">
        <v>2100</v>
      </c>
      <c r="H27" s="6" t="n">
        <v>208.95</v>
      </c>
      <c r="I27" s="6" t="n">
        <v>208.95</v>
      </c>
      <c r="J27" s="6" t="n">
        <v>20.42</v>
      </c>
    </row>
    <row r="28" customFormat="false" ht="15" hidden="false" customHeight="false" outlineLevel="0" collapsed="false">
      <c r="A28" s="16" t="n">
        <v>24</v>
      </c>
      <c r="B28" s="17" t="s">
        <v>223</v>
      </c>
      <c r="C28" s="5" t="n">
        <v>1</v>
      </c>
      <c r="D28" s="5" t="n">
        <v>120</v>
      </c>
      <c r="E28" s="6" t="n">
        <v>368</v>
      </c>
      <c r="F28" s="6" t="n">
        <v>37</v>
      </c>
      <c r="G28" s="5" t="n">
        <v>300</v>
      </c>
      <c r="H28" s="6" t="n">
        <v>110.4</v>
      </c>
      <c r="I28" s="6" t="n">
        <v>110.4</v>
      </c>
      <c r="J28" s="6" t="n">
        <v>10</v>
      </c>
    </row>
    <row r="29" customFormat="false" ht="15" hidden="false" customHeight="false" outlineLevel="0" collapsed="false">
      <c r="A29" s="16" t="n">
        <v>25</v>
      </c>
      <c r="B29" s="17" t="s">
        <v>224</v>
      </c>
      <c r="C29" s="5" t="n">
        <v>2</v>
      </c>
      <c r="D29" s="5" t="n">
        <v>65</v>
      </c>
      <c r="E29" s="6" t="n">
        <v>146</v>
      </c>
      <c r="F29" s="6" t="n">
        <v>13</v>
      </c>
      <c r="G29" s="5" t="n">
        <v>478</v>
      </c>
      <c r="H29" s="6" t="n">
        <v>69.79</v>
      </c>
      <c r="I29" s="6" t="n">
        <v>69.79</v>
      </c>
      <c r="J29" s="6" t="n">
        <v>8.63</v>
      </c>
    </row>
    <row r="30" customFormat="false" ht="15" hidden="false" customHeight="false" outlineLevel="0" collapsed="false">
      <c r="A30" s="16" t="n">
        <v>26</v>
      </c>
      <c r="B30" s="17" t="s">
        <v>225</v>
      </c>
      <c r="C30" s="5" t="n">
        <v>1</v>
      </c>
      <c r="D30" s="5" t="n">
        <v>108</v>
      </c>
      <c r="E30" s="6" t="n">
        <v>266</v>
      </c>
      <c r="F30" s="6" t="n">
        <v>30.5</v>
      </c>
      <c r="G30" s="5" t="n">
        <v>340</v>
      </c>
      <c r="H30" s="6" t="n">
        <v>90.44</v>
      </c>
      <c r="I30" s="6" t="n">
        <v>90.44</v>
      </c>
      <c r="J30" s="6" t="n">
        <v>10.2</v>
      </c>
    </row>
    <row r="31" customFormat="false" ht="15" hidden="false" customHeight="false" outlineLevel="0" collapsed="false">
      <c r="A31" s="16" t="n">
        <v>27</v>
      </c>
      <c r="B31" s="17" t="s">
        <v>226</v>
      </c>
      <c r="C31" s="5" t="n">
        <v>1</v>
      </c>
      <c r="D31" s="5" t="n">
        <v>175</v>
      </c>
      <c r="E31" s="6" t="n">
        <v>867</v>
      </c>
      <c r="F31" s="6" t="n">
        <v>40</v>
      </c>
      <c r="G31" s="5" t="n">
        <v>56</v>
      </c>
      <c r="H31" s="6" t="n">
        <v>48.55</v>
      </c>
      <c r="I31" s="6" t="n">
        <v>48.55</v>
      </c>
      <c r="J31" s="6" t="n">
        <v>2.72</v>
      </c>
    </row>
    <row r="32" customFormat="false" ht="15" hidden="false" customHeight="false" outlineLevel="0" collapsed="false">
      <c r="A32" s="16" t="n">
        <v>28</v>
      </c>
      <c r="B32" s="17" t="s">
        <v>227</v>
      </c>
      <c r="C32" s="5" t="n">
        <v>1</v>
      </c>
      <c r="D32" s="5" t="n">
        <v>198</v>
      </c>
      <c r="E32" s="6" t="n">
        <v>1142</v>
      </c>
      <c r="F32" s="6" t="n">
        <v>42</v>
      </c>
      <c r="G32" s="5" t="n">
        <v>15</v>
      </c>
      <c r="H32" s="6" t="n">
        <v>17.13</v>
      </c>
      <c r="I32" s="6" t="n">
        <v>17.13</v>
      </c>
      <c r="J32" s="6" t="n">
        <v>0.83</v>
      </c>
    </row>
    <row r="33" customFormat="false" ht="15" hidden="false" customHeight="false" outlineLevel="0" collapsed="false">
      <c r="A33" s="16" t="n">
        <v>29</v>
      </c>
      <c r="B33" s="17" t="s">
        <v>228</v>
      </c>
      <c r="C33" s="5" t="n">
        <v>4</v>
      </c>
      <c r="D33" s="5" t="n">
        <v>21.25</v>
      </c>
      <c r="E33" s="6" t="n">
        <v>38.6</v>
      </c>
      <c r="F33" s="6" t="n">
        <v>7.75</v>
      </c>
      <c r="G33" s="5" t="n">
        <v>1862</v>
      </c>
      <c r="H33" s="6" t="n">
        <v>71.87</v>
      </c>
      <c r="I33" s="6" t="n">
        <v>71.87</v>
      </c>
      <c r="J33" s="6" t="n">
        <v>10.99</v>
      </c>
    </row>
    <row r="34" customFormat="false" ht="15" hidden="false" customHeight="false" outlineLevel="0" collapsed="false">
      <c r="A34" s="16" t="n">
        <v>30</v>
      </c>
      <c r="B34" s="17" t="s">
        <v>229</v>
      </c>
      <c r="C34" s="5" t="n">
        <v>1</v>
      </c>
      <c r="D34" s="5" t="n">
        <v>86</v>
      </c>
      <c r="E34" s="6" t="n">
        <v>221</v>
      </c>
      <c r="F34" s="6" t="n">
        <v>29</v>
      </c>
      <c r="G34" s="5" t="n">
        <v>560</v>
      </c>
      <c r="H34" s="6" t="n">
        <v>123.76</v>
      </c>
      <c r="I34" s="6" t="n">
        <v>123.76</v>
      </c>
      <c r="J34" s="6" t="n">
        <v>13.38</v>
      </c>
    </row>
    <row r="35" customFormat="false" ht="15" hidden="false" customHeight="false" outlineLevel="0" collapsed="false">
      <c r="A35" s="16" t="n">
        <v>31</v>
      </c>
      <c r="B35" s="17" t="s">
        <v>230</v>
      </c>
      <c r="C35" s="5" t="n">
        <v>2</v>
      </c>
      <c r="D35" s="5" t="n">
        <v>62</v>
      </c>
      <c r="E35" s="6" t="n">
        <v>266</v>
      </c>
      <c r="F35" s="6" t="n">
        <v>25</v>
      </c>
      <c r="G35" s="5" t="n">
        <v>7240</v>
      </c>
      <c r="H35" s="6" t="n">
        <v>1867.92</v>
      </c>
      <c r="I35" s="6" t="n">
        <v>1867.92</v>
      </c>
      <c r="J35" s="6" t="n">
        <v>124.69</v>
      </c>
    </row>
    <row r="36" customFormat="false" ht="15" hidden="false" customHeight="false" outlineLevel="0" collapsed="false">
      <c r="A36" s="16" t="n">
        <v>32</v>
      </c>
      <c r="B36" s="17" t="s">
        <v>231</v>
      </c>
      <c r="C36" s="5" t="n">
        <v>1</v>
      </c>
      <c r="D36" s="5" t="n">
        <v>107</v>
      </c>
      <c r="E36" s="6" t="n">
        <v>317</v>
      </c>
      <c r="F36" s="6" t="n">
        <v>28</v>
      </c>
      <c r="G36" s="5" t="n">
        <v>210</v>
      </c>
      <c r="H36" s="6" t="n">
        <v>66.57</v>
      </c>
      <c r="I36" s="6" t="n">
        <v>66.57</v>
      </c>
      <c r="J36" s="6" t="n">
        <v>6.24</v>
      </c>
    </row>
    <row r="37" customFormat="false" ht="15" hidden="false" customHeight="false" outlineLevel="0" collapsed="false">
      <c r="A37" s="16" t="n">
        <v>33</v>
      </c>
      <c r="B37" s="17" t="s">
        <v>232</v>
      </c>
      <c r="C37" s="5" t="n">
        <v>1</v>
      </c>
      <c r="D37" s="5" t="n">
        <v>135</v>
      </c>
      <c r="E37" s="6" t="n">
        <v>569</v>
      </c>
      <c r="F37" s="6" t="n">
        <v>39</v>
      </c>
      <c r="G37" s="5" t="n">
        <v>2415</v>
      </c>
      <c r="H37" s="6" t="n">
        <v>1374.15</v>
      </c>
      <c r="I37" s="6" t="n">
        <v>1374.14</v>
      </c>
      <c r="J37" s="6" t="n">
        <v>90.56</v>
      </c>
    </row>
    <row r="38" customFormat="false" ht="15" hidden="false" customHeight="false" outlineLevel="0" collapsed="false">
      <c r="A38" s="16" t="n">
        <v>34</v>
      </c>
      <c r="B38" s="17" t="s">
        <v>233</v>
      </c>
      <c r="C38" s="5" t="n">
        <v>1</v>
      </c>
      <c r="D38" s="5" t="n">
        <v>90</v>
      </c>
      <c r="E38" s="6" t="n">
        <v>269</v>
      </c>
      <c r="F38" s="6" t="n">
        <v>25</v>
      </c>
      <c r="G38" s="5" t="n">
        <v>1280</v>
      </c>
      <c r="H38" s="6" t="n">
        <v>344.32</v>
      </c>
      <c r="I38" s="6" t="n">
        <v>344.32</v>
      </c>
      <c r="J38" s="6" t="n">
        <v>32</v>
      </c>
    </row>
    <row r="39" customFormat="false" ht="15" hidden="false" customHeight="false" outlineLevel="0" collapsed="false">
      <c r="A39" s="16" t="n">
        <v>35</v>
      </c>
      <c r="B39" s="17" t="s">
        <v>234</v>
      </c>
      <c r="C39" s="5" t="n">
        <v>1</v>
      </c>
      <c r="D39" s="5" t="n">
        <v>196</v>
      </c>
      <c r="E39" s="6" t="n">
        <v>983</v>
      </c>
      <c r="F39" s="6" t="n">
        <v>55</v>
      </c>
      <c r="G39" s="5" t="n">
        <v>168</v>
      </c>
      <c r="H39" s="6" t="n">
        <v>165.14</v>
      </c>
      <c r="I39" s="6" t="n">
        <v>165.14</v>
      </c>
      <c r="J39" s="6" t="n">
        <v>9.15</v>
      </c>
    </row>
    <row r="40" customFormat="false" ht="15" hidden="false" customHeight="false" outlineLevel="0" collapsed="false">
      <c r="A40" s="16" t="n">
        <v>36</v>
      </c>
      <c r="B40" s="17" t="s">
        <v>235</v>
      </c>
      <c r="C40" s="5" t="n">
        <v>1</v>
      </c>
      <c r="D40" s="5" t="n">
        <v>80</v>
      </c>
      <c r="E40" s="6" t="n">
        <v>183</v>
      </c>
      <c r="F40" s="6" t="n">
        <v>26</v>
      </c>
      <c r="G40" s="5" t="n">
        <v>1050</v>
      </c>
      <c r="H40" s="6" t="n">
        <v>184.8</v>
      </c>
      <c r="I40" s="6" t="n">
        <v>184.8</v>
      </c>
      <c r="J40" s="6" t="n">
        <v>23.33</v>
      </c>
    </row>
    <row r="41" customFormat="false" ht="15" hidden="false" customHeight="false" outlineLevel="0" collapsed="false">
      <c r="A41" s="16" t="n">
        <v>37</v>
      </c>
      <c r="B41" s="17" t="s">
        <v>236</v>
      </c>
      <c r="C41" s="5" t="n">
        <v>1</v>
      </c>
      <c r="D41" s="5" t="n">
        <v>320</v>
      </c>
      <c r="E41" s="6" t="n">
        <v>1160</v>
      </c>
      <c r="F41" s="6" t="n">
        <v>38</v>
      </c>
      <c r="G41" s="5" t="n">
        <v>210</v>
      </c>
      <c r="H41" s="6" t="n">
        <v>243.6</v>
      </c>
      <c r="I41" s="6" t="n">
        <v>243.6</v>
      </c>
      <c r="J41" s="6" t="n">
        <v>18.67</v>
      </c>
    </row>
    <row r="42" customFormat="false" ht="15" hidden="false" customHeight="false" outlineLevel="0" collapsed="false">
      <c r="A42" s="16" t="n">
        <v>38</v>
      </c>
      <c r="B42" s="17" t="s">
        <v>237</v>
      </c>
      <c r="C42" s="5" t="n">
        <v>2</v>
      </c>
      <c r="D42" s="5" t="n">
        <v>60</v>
      </c>
      <c r="E42" s="6" t="n">
        <v>207</v>
      </c>
      <c r="F42" s="6" t="n">
        <v>27.5</v>
      </c>
      <c r="G42" s="5" t="n">
        <v>1150</v>
      </c>
      <c r="H42" s="6" t="n">
        <v>238.05</v>
      </c>
      <c r="I42" s="6" t="n">
        <v>238.05</v>
      </c>
      <c r="J42" s="6" t="n">
        <v>19.17</v>
      </c>
    </row>
    <row r="43" customFormat="false" ht="15" hidden="false" customHeight="false" outlineLevel="0" collapsed="false">
      <c r="A43" s="16" t="n">
        <v>39</v>
      </c>
      <c r="B43" s="17" t="s">
        <v>238</v>
      </c>
      <c r="C43" s="5" t="n">
        <v>2</v>
      </c>
      <c r="D43" s="5" t="n">
        <v>57.5</v>
      </c>
      <c r="E43" s="6" t="n">
        <v>189</v>
      </c>
      <c r="F43" s="6" t="n">
        <v>27</v>
      </c>
      <c r="G43" s="5" t="n">
        <v>10380</v>
      </c>
      <c r="H43" s="6" t="n">
        <v>1961.82</v>
      </c>
      <c r="I43" s="6" t="n">
        <v>1961.82</v>
      </c>
      <c r="J43" s="6" t="n">
        <v>165.79</v>
      </c>
    </row>
    <row r="44" customFormat="false" ht="15" hidden="false" customHeight="false" outlineLevel="0" collapsed="false">
      <c r="A44" s="16" t="n">
        <v>40</v>
      </c>
      <c r="B44" s="17" t="s">
        <v>239</v>
      </c>
      <c r="C44" s="5" t="n">
        <v>2</v>
      </c>
      <c r="D44" s="5" t="n">
        <v>51.5</v>
      </c>
      <c r="E44" s="6" t="n">
        <v>74</v>
      </c>
      <c r="F44" s="6" t="n">
        <v>20</v>
      </c>
      <c r="G44" s="5" t="n">
        <v>700</v>
      </c>
      <c r="H44" s="6" t="n">
        <v>51.8</v>
      </c>
      <c r="I44" s="6" t="n">
        <v>51.8</v>
      </c>
      <c r="J44" s="6" t="n">
        <v>10.01</v>
      </c>
    </row>
    <row r="45" customFormat="false" ht="15" hidden="false" customHeight="false" outlineLevel="0" collapsed="false">
      <c r="A45" s="16" t="n">
        <v>41</v>
      </c>
      <c r="B45" s="17" t="s">
        <v>240</v>
      </c>
      <c r="C45" s="5" t="n">
        <v>4</v>
      </c>
      <c r="D45" s="5" t="n">
        <v>34.5</v>
      </c>
      <c r="E45" s="6" t="n">
        <v>42</v>
      </c>
      <c r="F45" s="6" t="n">
        <v>6.75</v>
      </c>
      <c r="G45" s="5" t="n">
        <v>1475</v>
      </c>
      <c r="H45" s="6" t="n">
        <v>61.95</v>
      </c>
      <c r="I45" s="6" t="n">
        <v>61.95</v>
      </c>
      <c r="J45" s="6" t="n">
        <v>14.14</v>
      </c>
    </row>
    <row r="46" customFormat="false" ht="15" hidden="false" customHeight="false" outlineLevel="0" collapsed="false">
      <c r="A46" s="16" t="n">
        <v>42</v>
      </c>
      <c r="B46" s="17" t="s">
        <v>241</v>
      </c>
      <c r="C46" s="5" t="n">
        <v>1</v>
      </c>
      <c r="D46" s="5" t="n">
        <v>98</v>
      </c>
      <c r="E46" s="6" t="n">
        <v>377</v>
      </c>
      <c r="F46" s="6" t="n">
        <v>10</v>
      </c>
      <c r="G46" s="5" t="n">
        <v>635</v>
      </c>
      <c r="H46" s="6" t="n">
        <v>239.39</v>
      </c>
      <c r="I46" s="6" t="n">
        <v>239.4</v>
      </c>
      <c r="J46" s="6" t="n">
        <v>17.29</v>
      </c>
    </row>
    <row r="47" customFormat="false" ht="15" hidden="false" customHeight="false" outlineLevel="0" collapsed="false">
      <c r="A47" s="16" t="n">
        <v>43</v>
      </c>
      <c r="B47" s="17" t="s">
        <v>242</v>
      </c>
      <c r="C47" s="5" t="n">
        <v>1</v>
      </c>
      <c r="D47" s="5" t="n">
        <v>168</v>
      </c>
      <c r="E47" s="6" t="n">
        <v>647.8</v>
      </c>
      <c r="F47" s="6" t="n">
        <v>47.9</v>
      </c>
      <c r="G47" s="5" t="n">
        <v>256</v>
      </c>
      <c r="H47" s="6" t="n">
        <v>165.84</v>
      </c>
      <c r="I47" s="6" t="n">
        <v>165.84</v>
      </c>
      <c r="J47" s="6" t="n">
        <v>11.95</v>
      </c>
    </row>
    <row r="48" customFormat="false" ht="15" hidden="false" customHeight="false" outlineLevel="0" collapsed="false">
      <c r="A48" s="16" t="n">
        <v>44</v>
      </c>
      <c r="B48" s="17" t="s">
        <v>243</v>
      </c>
      <c r="C48" s="5" t="n">
        <v>1</v>
      </c>
      <c r="D48" s="5" t="n">
        <v>210</v>
      </c>
      <c r="E48" s="6" t="n">
        <v>1285</v>
      </c>
      <c r="F48" s="6" t="n">
        <v>40</v>
      </c>
      <c r="G48" s="5" t="n">
        <v>432</v>
      </c>
      <c r="H48" s="6" t="n">
        <v>555.12</v>
      </c>
      <c r="I48" s="6" t="n">
        <v>555.12</v>
      </c>
      <c r="J48" s="6" t="n">
        <v>25.2</v>
      </c>
    </row>
    <row r="49" customFormat="false" ht="15" hidden="false" customHeight="false" outlineLevel="0" collapsed="false">
      <c r="A49" s="16" t="n">
        <v>45</v>
      </c>
      <c r="B49" s="17" t="s">
        <v>244</v>
      </c>
      <c r="C49" s="5" t="n">
        <v>1</v>
      </c>
      <c r="D49" s="5" t="n">
        <v>110</v>
      </c>
      <c r="E49" s="6" t="n">
        <v>480</v>
      </c>
      <c r="F49" s="6" t="n">
        <v>40</v>
      </c>
      <c r="G49" s="5" t="n">
        <v>960</v>
      </c>
      <c r="H49" s="6" t="n">
        <v>451.2</v>
      </c>
      <c r="I49" s="6" t="n">
        <v>451.2</v>
      </c>
      <c r="J49" s="6" t="n">
        <v>29.33</v>
      </c>
    </row>
    <row r="50" customFormat="false" ht="15" hidden="false" customHeight="false" outlineLevel="0" collapsed="false">
      <c r="A50" s="16" t="n">
        <v>46</v>
      </c>
      <c r="B50" s="17" t="s">
        <v>245</v>
      </c>
      <c r="C50" s="5" t="n">
        <v>1</v>
      </c>
      <c r="D50" s="5" t="n">
        <v>189</v>
      </c>
      <c r="E50" s="6" t="n">
        <v>966</v>
      </c>
      <c r="F50" s="6" t="n">
        <v>55</v>
      </c>
      <c r="G50" s="5" t="n">
        <v>400</v>
      </c>
      <c r="H50" s="6" t="n">
        <v>385.2</v>
      </c>
      <c r="I50" s="6" t="n">
        <v>385.2</v>
      </c>
      <c r="J50" s="6" t="n">
        <v>21</v>
      </c>
    </row>
    <row r="51" customFormat="false" ht="15" hidden="false" customHeight="false" outlineLevel="0" collapsed="false">
      <c r="A51" s="16" t="n">
        <v>47</v>
      </c>
      <c r="B51" s="17" t="s">
        <v>246</v>
      </c>
      <c r="C51" s="5" t="n">
        <v>2</v>
      </c>
      <c r="D51" s="5" t="n">
        <v>60.5</v>
      </c>
      <c r="E51" s="6" t="n">
        <v>190</v>
      </c>
      <c r="F51" s="6" t="n">
        <v>17.5</v>
      </c>
      <c r="G51" s="5" t="n">
        <v>900</v>
      </c>
      <c r="H51" s="6" t="n">
        <v>171</v>
      </c>
      <c r="I51" s="6" t="n">
        <v>171</v>
      </c>
      <c r="J51" s="6" t="n">
        <v>15.13</v>
      </c>
    </row>
    <row r="52" customFormat="false" ht="15" hidden="false" customHeight="false" outlineLevel="0" collapsed="false">
      <c r="A52" s="16" t="n">
        <v>48</v>
      </c>
      <c r="B52" s="17" t="s">
        <v>247</v>
      </c>
      <c r="C52" s="5" t="n">
        <v>1</v>
      </c>
      <c r="D52" s="5" t="n">
        <v>175</v>
      </c>
      <c r="E52" s="6" t="n">
        <v>543</v>
      </c>
      <c r="F52" s="6" t="n">
        <v>43</v>
      </c>
      <c r="G52" s="5"/>
      <c r="H52" s="6"/>
      <c r="I52" s="6"/>
      <c r="J52" s="6"/>
    </row>
    <row r="53" customFormat="false" ht="15" hidden="false" customHeight="false" outlineLevel="0" collapsed="false">
      <c r="A53" s="18" t="s">
        <v>14</v>
      </c>
      <c r="B53" s="18"/>
      <c r="C53" s="18"/>
      <c r="D53" s="18"/>
      <c r="E53" s="18"/>
      <c r="F53" s="18"/>
      <c r="G53" s="19" t="n">
        <f aca="false">SUM(G5:G52)</f>
        <v>129531</v>
      </c>
      <c r="H53" s="20" t="n">
        <f aca="false">SUM(H5:H52)</f>
        <v>33177.94</v>
      </c>
      <c r="I53" s="20" t="n">
        <f aca="false">SUM(I5:I52)</f>
        <v>33177.83</v>
      </c>
      <c r="J53" s="20" t="n">
        <f aca="false">SUM(J5:J52)</f>
        <v>2954.86</v>
      </c>
    </row>
  </sheetData>
  <mergeCells count="3">
    <mergeCell ref="A1:J1"/>
    <mergeCell ref="A2:J2"/>
    <mergeCell ref="A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10" min="9" style="0" width="16"/>
  </cols>
  <sheetData>
    <row r="1" customFormat="false" ht="15" hidden="false" customHeight="false" outlineLevel="0" collapsed="false">
      <c r="A1" s="14" t="s">
        <v>248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15" hidden="false" customHeight="false" outlineLevel="0" collapsed="false">
      <c r="A2" s="15" t="s">
        <v>249</v>
      </c>
      <c r="B2" s="15"/>
      <c r="C2" s="15"/>
      <c r="D2" s="15"/>
      <c r="E2" s="15"/>
      <c r="F2" s="15"/>
      <c r="G2" s="15"/>
      <c r="H2" s="15"/>
      <c r="I2" s="15"/>
      <c r="J2" s="15"/>
    </row>
    <row r="4" customFormat="false" ht="23.85" hidden="false" customHeight="fals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5</v>
      </c>
      <c r="H4" s="3" t="s">
        <v>6</v>
      </c>
      <c r="I4" s="3" t="s">
        <v>29</v>
      </c>
      <c r="J4" s="3" t="s">
        <v>7</v>
      </c>
    </row>
    <row r="5" customFormat="false" ht="15" hidden="false" customHeight="false" outlineLevel="0" collapsed="false">
      <c r="A5" s="16" t="n">
        <v>1</v>
      </c>
      <c r="B5" s="17" t="s">
        <v>250</v>
      </c>
      <c r="C5" s="5" t="n">
        <v>1</v>
      </c>
      <c r="D5" s="5" t="n">
        <v>128</v>
      </c>
      <c r="E5" s="6" t="n">
        <v>463</v>
      </c>
      <c r="F5" s="6" t="n">
        <v>10</v>
      </c>
      <c r="G5" s="5" t="n">
        <v>475</v>
      </c>
      <c r="H5" s="6" t="n">
        <v>219.93</v>
      </c>
      <c r="I5" s="6" t="n">
        <v>219.93</v>
      </c>
      <c r="J5" s="6" t="n">
        <v>16.89</v>
      </c>
    </row>
    <row r="6" customFormat="false" ht="15" hidden="false" customHeight="false" outlineLevel="0" collapsed="false">
      <c r="A6" s="16" t="n">
        <v>2</v>
      </c>
      <c r="B6" s="17" t="s">
        <v>251</v>
      </c>
      <c r="C6" s="5" t="n">
        <v>1</v>
      </c>
      <c r="D6" s="5" t="n">
        <v>140</v>
      </c>
      <c r="E6" s="6" t="n">
        <v>463</v>
      </c>
      <c r="F6" s="6" t="n">
        <v>10</v>
      </c>
      <c r="G6" s="5" t="n">
        <v>3675</v>
      </c>
      <c r="H6" s="6" t="n">
        <v>1701.55</v>
      </c>
      <c r="I6" s="6" t="n">
        <v>1701.53</v>
      </c>
      <c r="J6" s="6" t="n">
        <v>130.67</v>
      </c>
    </row>
    <row r="7" customFormat="false" ht="15" hidden="false" customHeight="false" outlineLevel="0" collapsed="false">
      <c r="A7" s="16" t="n">
        <v>3</v>
      </c>
      <c r="B7" s="17" t="s">
        <v>252</v>
      </c>
      <c r="C7" s="5" t="n">
        <v>0</v>
      </c>
      <c r="D7" s="5"/>
      <c r="E7" s="6"/>
      <c r="F7" s="6"/>
      <c r="G7" s="5" t="n">
        <v>350</v>
      </c>
      <c r="H7" s="6" t="n">
        <v>84.7</v>
      </c>
      <c r="I7" s="6" t="n">
        <v>84.7</v>
      </c>
      <c r="J7" s="6" t="n">
        <v>9.82</v>
      </c>
    </row>
    <row r="8" customFormat="false" ht="15" hidden="false" customHeight="false" outlineLevel="0" collapsed="false">
      <c r="A8" s="16" t="n">
        <v>4</v>
      </c>
      <c r="B8" s="17" t="s">
        <v>253</v>
      </c>
      <c r="C8" s="5" t="n">
        <v>1</v>
      </c>
      <c r="D8" s="5" t="n">
        <v>95</v>
      </c>
      <c r="E8" s="6" t="n">
        <v>174</v>
      </c>
      <c r="F8" s="6" t="n">
        <v>5</v>
      </c>
      <c r="G8" s="5" t="n">
        <v>2975</v>
      </c>
      <c r="H8" s="6" t="n">
        <v>487.9</v>
      </c>
      <c r="I8" s="6" t="n">
        <v>487.9</v>
      </c>
      <c r="J8" s="6" t="n">
        <v>78.51</v>
      </c>
    </row>
    <row r="9" customFormat="false" ht="15" hidden="false" customHeight="false" outlineLevel="0" collapsed="false">
      <c r="A9" s="16" t="n">
        <v>5</v>
      </c>
      <c r="B9" s="17" t="s">
        <v>254</v>
      </c>
      <c r="C9" s="5" t="n">
        <v>1</v>
      </c>
      <c r="D9" s="5" t="n">
        <v>185</v>
      </c>
      <c r="E9" s="6" t="n">
        <v>725</v>
      </c>
      <c r="F9" s="6" t="n">
        <v>9</v>
      </c>
      <c r="G9" s="5" t="n">
        <v>1110</v>
      </c>
      <c r="H9" s="6" t="n">
        <v>804.76</v>
      </c>
      <c r="I9" s="6" t="n">
        <v>804.75</v>
      </c>
      <c r="J9" s="6" t="n">
        <v>57.04</v>
      </c>
    </row>
    <row r="10" customFormat="false" ht="15" hidden="false" customHeight="false" outlineLevel="0" collapsed="false">
      <c r="A10" s="16" t="n">
        <v>6</v>
      </c>
      <c r="B10" s="17" t="s">
        <v>255</v>
      </c>
      <c r="C10" s="5" t="n">
        <v>1</v>
      </c>
      <c r="D10" s="5" t="n">
        <v>90</v>
      </c>
      <c r="E10" s="6" t="n">
        <v>295.6</v>
      </c>
      <c r="F10" s="6" t="n">
        <v>38</v>
      </c>
      <c r="G10" s="5" t="n">
        <v>650</v>
      </c>
      <c r="H10" s="6" t="n">
        <v>192.14</v>
      </c>
      <c r="I10" s="6" t="n">
        <v>192.14</v>
      </c>
      <c r="J10" s="6" t="n">
        <v>16.25</v>
      </c>
    </row>
    <row r="11" customFormat="false" ht="15" hidden="false" customHeight="false" outlineLevel="0" collapsed="false">
      <c r="A11" s="16" t="n">
        <v>7</v>
      </c>
      <c r="B11" s="17" t="s">
        <v>256</v>
      </c>
      <c r="C11" s="5" t="n">
        <v>4</v>
      </c>
      <c r="D11" s="5" t="n">
        <v>20.5</v>
      </c>
      <c r="E11" s="6" t="n">
        <v>40</v>
      </c>
      <c r="F11" s="6" t="n">
        <v>7</v>
      </c>
      <c r="G11" s="5" t="n">
        <v>2000</v>
      </c>
      <c r="H11" s="6" t="n">
        <v>80</v>
      </c>
      <c r="I11" s="6" t="n">
        <v>80</v>
      </c>
      <c r="J11" s="6" t="n">
        <v>11.39</v>
      </c>
    </row>
    <row r="12" customFormat="false" ht="15" hidden="false" customHeight="false" outlineLevel="0" collapsed="false">
      <c r="A12" s="16" t="n">
        <v>8</v>
      </c>
      <c r="B12" s="17" t="s">
        <v>257</v>
      </c>
      <c r="C12" s="5" t="n">
        <v>8</v>
      </c>
      <c r="D12" s="5" t="n">
        <v>16.875</v>
      </c>
      <c r="E12" s="6" t="n">
        <v>61.5</v>
      </c>
      <c r="F12" s="6" t="n">
        <v>8.375</v>
      </c>
      <c r="G12" s="5" t="n">
        <v>4250</v>
      </c>
      <c r="H12" s="6" t="n">
        <v>261.38</v>
      </c>
      <c r="I12" s="6" t="n">
        <v>261.38</v>
      </c>
      <c r="J12" s="6" t="n">
        <v>19.92</v>
      </c>
    </row>
    <row r="13" customFormat="false" ht="15" hidden="false" customHeight="false" outlineLevel="0" collapsed="false">
      <c r="A13" s="16" t="n">
        <v>9</v>
      </c>
      <c r="B13" s="17" t="s">
        <v>258</v>
      </c>
      <c r="C13" s="5" t="n">
        <v>2</v>
      </c>
      <c r="D13" s="5" t="n">
        <v>50</v>
      </c>
      <c r="E13" s="6" t="n">
        <v>78</v>
      </c>
      <c r="F13" s="6" t="n">
        <v>16.5</v>
      </c>
      <c r="G13" s="5" t="n">
        <v>450</v>
      </c>
      <c r="H13" s="6" t="n">
        <v>35.1</v>
      </c>
      <c r="I13" s="6" t="n">
        <v>35.1</v>
      </c>
      <c r="J13" s="6" t="n">
        <v>6.25</v>
      </c>
    </row>
    <row r="14" customFormat="false" ht="15" hidden="false" customHeight="false" outlineLevel="0" collapsed="false">
      <c r="A14" s="16" t="n">
        <v>10</v>
      </c>
      <c r="B14" s="17" t="s">
        <v>259</v>
      </c>
      <c r="C14" s="5" t="n">
        <v>4</v>
      </c>
      <c r="D14" s="5" t="n">
        <v>30</v>
      </c>
      <c r="E14" s="6" t="n">
        <v>97.5</v>
      </c>
      <c r="F14" s="6" t="n">
        <v>12.125</v>
      </c>
      <c r="G14" s="5" t="n">
        <v>7000</v>
      </c>
      <c r="H14" s="6" t="n">
        <v>682.5</v>
      </c>
      <c r="I14" s="6" t="n">
        <v>682.5</v>
      </c>
      <c r="J14" s="6" t="n">
        <v>58.33</v>
      </c>
    </row>
    <row r="15" customFormat="false" ht="15" hidden="false" customHeight="false" outlineLevel="0" collapsed="false">
      <c r="A15" s="16" t="n">
        <v>11</v>
      </c>
      <c r="B15" s="17" t="s">
        <v>260</v>
      </c>
      <c r="C15" s="5" t="n">
        <v>1</v>
      </c>
      <c r="D15" s="5" t="n">
        <v>100</v>
      </c>
      <c r="E15" s="6" t="n">
        <v>533</v>
      </c>
      <c r="F15" s="6" t="n">
        <v>8.7</v>
      </c>
      <c r="G15" s="5" t="n">
        <v>792</v>
      </c>
      <c r="H15" s="6" t="n">
        <v>422.14</v>
      </c>
      <c r="I15" s="6" t="n">
        <v>422.14</v>
      </c>
      <c r="J15" s="6" t="n">
        <v>22</v>
      </c>
    </row>
    <row r="16" customFormat="false" ht="15" hidden="false" customHeight="false" outlineLevel="0" collapsed="false">
      <c r="A16" s="16" t="n">
        <v>12</v>
      </c>
      <c r="B16" s="17" t="s">
        <v>261</v>
      </c>
      <c r="C16" s="5" t="n">
        <v>2</v>
      </c>
      <c r="D16" s="5" t="n">
        <v>45</v>
      </c>
      <c r="E16" s="6" t="n">
        <v>181</v>
      </c>
      <c r="F16" s="6" t="n">
        <v>17.5</v>
      </c>
      <c r="G16" s="5" t="n">
        <v>1200</v>
      </c>
      <c r="H16" s="6" t="n">
        <v>217.2</v>
      </c>
      <c r="I16" s="6" t="n">
        <v>217.2</v>
      </c>
      <c r="J16" s="6" t="n">
        <v>15</v>
      </c>
    </row>
    <row r="17" customFormat="false" ht="15" hidden="false" customHeight="false" outlineLevel="0" collapsed="false">
      <c r="A17" s="16" t="n">
        <v>13</v>
      </c>
      <c r="B17" s="17" t="s">
        <v>262</v>
      </c>
      <c r="C17" s="5" t="n">
        <v>2</v>
      </c>
      <c r="D17" s="5" t="n">
        <v>39</v>
      </c>
      <c r="E17" s="6" t="n">
        <v>232.8</v>
      </c>
      <c r="F17" s="6" t="n">
        <v>22</v>
      </c>
      <c r="G17" s="5" t="n">
        <v>2310</v>
      </c>
      <c r="H17" s="6" t="n">
        <v>537.77</v>
      </c>
      <c r="I17" s="6" t="n">
        <v>537.77</v>
      </c>
      <c r="J17" s="6" t="n">
        <v>25.03</v>
      </c>
    </row>
    <row r="18" customFormat="false" ht="15" hidden="false" customHeight="false" outlineLevel="0" collapsed="false">
      <c r="A18" s="16" t="n">
        <v>14</v>
      </c>
      <c r="B18" s="17" t="s">
        <v>263</v>
      </c>
      <c r="C18" s="5" t="n">
        <v>2</v>
      </c>
      <c r="D18" s="5" t="n">
        <v>64</v>
      </c>
      <c r="E18" s="6" t="n">
        <v>398</v>
      </c>
      <c r="F18" s="6" t="n">
        <v>20.5</v>
      </c>
      <c r="G18" s="5" t="n">
        <v>672</v>
      </c>
      <c r="H18" s="6" t="n">
        <v>266.78</v>
      </c>
      <c r="I18" s="6" t="n">
        <v>266.78</v>
      </c>
      <c r="J18" s="6" t="n">
        <v>11.95</v>
      </c>
    </row>
    <row r="19" customFormat="false" ht="15" hidden="false" customHeight="false" outlineLevel="0" collapsed="false">
      <c r="A19" s="16" t="n">
        <v>15</v>
      </c>
      <c r="B19" s="17" t="s">
        <v>264</v>
      </c>
      <c r="C19" s="5" t="n">
        <v>2</v>
      </c>
      <c r="D19" s="5" t="n">
        <v>44</v>
      </c>
      <c r="E19" s="6" t="n">
        <v>192</v>
      </c>
      <c r="F19" s="6" t="n">
        <v>19.3</v>
      </c>
      <c r="G19" s="5" t="n">
        <v>3220</v>
      </c>
      <c r="H19" s="6" t="n">
        <v>618.24</v>
      </c>
      <c r="I19" s="6" t="n">
        <v>618.24</v>
      </c>
      <c r="J19" s="6" t="n">
        <v>39.36</v>
      </c>
    </row>
    <row r="20" customFormat="false" ht="15" hidden="false" customHeight="false" outlineLevel="0" collapsed="false">
      <c r="A20" s="16" t="n">
        <v>16</v>
      </c>
      <c r="B20" s="17" t="s">
        <v>265</v>
      </c>
      <c r="C20" s="5" t="n">
        <v>1</v>
      </c>
      <c r="D20" s="5" t="n">
        <v>125</v>
      </c>
      <c r="E20" s="6" t="n">
        <v>422</v>
      </c>
      <c r="F20" s="6" t="n">
        <v>6.5</v>
      </c>
      <c r="G20" s="5" t="n">
        <v>300</v>
      </c>
      <c r="H20" s="6" t="n">
        <v>126.6</v>
      </c>
      <c r="I20" s="6" t="n">
        <v>126.6</v>
      </c>
      <c r="J20" s="6" t="n">
        <v>10.42</v>
      </c>
    </row>
    <row r="21" customFormat="false" ht="15" hidden="false" customHeight="false" outlineLevel="0" collapsed="false">
      <c r="A21" s="16" t="n">
        <v>17</v>
      </c>
      <c r="B21" s="17" t="s">
        <v>266</v>
      </c>
      <c r="C21" s="5" t="n">
        <v>2</v>
      </c>
      <c r="D21" s="5" t="n">
        <v>52.5</v>
      </c>
      <c r="E21" s="6" t="n">
        <v>130</v>
      </c>
      <c r="F21" s="6" t="n">
        <v>31</v>
      </c>
      <c r="G21" s="5" t="n">
        <v>650</v>
      </c>
      <c r="H21" s="6" t="n">
        <v>84.5</v>
      </c>
      <c r="I21" s="6" t="n">
        <v>84.5</v>
      </c>
      <c r="J21" s="6" t="n">
        <v>9.48</v>
      </c>
    </row>
    <row r="22" customFormat="false" ht="15" hidden="false" customHeight="false" outlineLevel="0" collapsed="false">
      <c r="A22" s="16" t="n">
        <v>18</v>
      </c>
      <c r="B22" s="17" t="s">
        <v>267</v>
      </c>
      <c r="C22" s="5" t="n">
        <v>2</v>
      </c>
      <c r="D22" s="5" t="n">
        <v>39</v>
      </c>
      <c r="E22" s="6" t="n">
        <v>70</v>
      </c>
      <c r="F22" s="6" t="n">
        <v>22.5</v>
      </c>
      <c r="G22" s="5" t="n">
        <v>1050</v>
      </c>
      <c r="H22" s="6" t="n">
        <v>73.5</v>
      </c>
      <c r="I22" s="6" t="n">
        <v>73.5</v>
      </c>
      <c r="J22" s="6" t="n">
        <v>11.38</v>
      </c>
    </row>
    <row r="23" customFormat="false" ht="15" hidden="false" customHeight="false" outlineLevel="0" collapsed="false">
      <c r="A23" s="16" t="n">
        <v>19</v>
      </c>
      <c r="B23" s="17" t="s">
        <v>268</v>
      </c>
      <c r="C23" s="5" t="n">
        <v>1</v>
      </c>
      <c r="D23" s="5" t="n">
        <v>101</v>
      </c>
      <c r="E23" s="6" t="n">
        <v>543.5</v>
      </c>
      <c r="F23" s="6" t="n">
        <v>42.5</v>
      </c>
      <c r="G23" s="5" t="n">
        <v>242</v>
      </c>
      <c r="H23" s="6" t="n">
        <v>131.53</v>
      </c>
      <c r="I23" s="6" t="n">
        <v>131.53</v>
      </c>
      <c r="J23" s="6" t="n">
        <v>6.79</v>
      </c>
    </row>
    <row r="24" customFormat="false" ht="15" hidden="false" customHeight="false" outlineLevel="0" collapsed="false">
      <c r="A24" s="16" t="n">
        <v>20</v>
      </c>
      <c r="B24" s="17" t="s">
        <v>269</v>
      </c>
      <c r="C24" s="5" t="n">
        <v>2</v>
      </c>
      <c r="D24" s="5" t="n">
        <v>45</v>
      </c>
      <c r="E24" s="6" t="n">
        <v>100.5</v>
      </c>
      <c r="F24" s="6" t="n">
        <v>20.1</v>
      </c>
      <c r="G24" s="5" t="n">
        <v>750</v>
      </c>
      <c r="H24" s="6" t="n">
        <v>75.38</v>
      </c>
      <c r="I24" s="6" t="n">
        <v>75.38</v>
      </c>
      <c r="J24" s="6" t="n">
        <v>9.38</v>
      </c>
    </row>
    <row r="25" customFormat="false" ht="15" hidden="false" customHeight="false" outlineLevel="0" collapsed="false">
      <c r="A25" s="16" t="n">
        <v>21</v>
      </c>
      <c r="B25" s="17" t="s">
        <v>270</v>
      </c>
      <c r="C25" s="5" t="n">
        <v>2</v>
      </c>
      <c r="D25" s="5" t="n">
        <v>54</v>
      </c>
      <c r="E25" s="6" t="n">
        <v>166.5</v>
      </c>
      <c r="F25" s="6" t="n">
        <v>31.25</v>
      </c>
      <c r="G25" s="5" t="n">
        <v>975</v>
      </c>
      <c r="H25" s="6" t="n">
        <v>162.34</v>
      </c>
      <c r="I25" s="6" t="n">
        <v>162.34</v>
      </c>
      <c r="J25" s="6" t="n">
        <v>14.63</v>
      </c>
    </row>
    <row r="26" customFormat="false" ht="15" hidden="false" customHeight="false" outlineLevel="0" collapsed="false">
      <c r="A26" s="16" t="n">
        <v>22</v>
      </c>
      <c r="B26" s="17" t="s">
        <v>271</v>
      </c>
      <c r="C26" s="5" t="n">
        <v>1</v>
      </c>
      <c r="D26" s="5" t="n">
        <v>124</v>
      </c>
      <c r="E26" s="6" t="n">
        <v>507.5</v>
      </c>
      <c r="F26" s="6" t="n">
        <v>8</v>
      </c>
      <c r="G26" s="5" t="n">
        <v>260</v>
      </c>
      <c r="H26" s="6" t="n">
        <v>131.95</v>
      </c>
      <c r="I26" s="6" t="n">
        <v>131.95</v>
      </c>
      <c r="J26" s="6" t="n">
        <v>8.96</v>
      </c>
    </row>
    <row r="27" customFormat="false" ht="15" hidden="false" customHeight="false" outlineLevel="0" collapsed="false">
      <c r="A27" s="16" t="n">
        <v>23</v>
      </c>
      <c r="B27" s="17" t="s">
        <v>272</v>
      </c>
      <c r="C27" s="5" t="n">
        <v>2</v>
      </c>
      <c r="D27" s="5" t="n">
        <v>52.5</v>
      </c>
      <c r="E27" s="6" t="n">
        <v>130</v>
      </c>
      <c r="F27" s="6" t="n">
        <v>31</v>
      </c>
      <c r="G27" s="5" t="n">
        <v>600</v>
      </c>
      <c r="H27" s="6" t="n">
        <v>78</v>
      </c>
      <c r="I27" s="6" t="n">
        <v>78</v>
      </c>
      <c r="J27" s="6" t="n">
        <v>8.75</v>
      </c>
    </row>
    <row r="28" customFormat="false" ht="15" hidden="false" customHeight="false" outlineLevel="0" collapsed="false">
      <c r="A28" s="16" t="n">
        <v>24</v>
      </c>
      <c r="B28" s="17" t="s">
        <v>273</v>
      </c>
      <c r="C28" s="5" t="n">
        <v>1</v>
      </c>
      <c r="D28" s="5" t="n">
        <v>114</v>
      </c>
      <c r="E28" s="6" t="n">
        <v>623.5</v>
      </c>
      <c r="F28" s="6" t="n">
        <v>8.4</v>
      </c>
      <c r="G28" s="5" t="n">
        <v>195</v>
      </c>
      <c r="H28" s="6" t="n">
        <v>121.58</v>
      </c>
      <c r="I28" s="6" t="n">
        <v>121.58</v>
      </c>
      <c r="J28" s="6" t="n">
        <v>6.18</v>
      </c>
    </row>
    <row r="29" customFormat="false" ht="15" hidden="false" customHeight="false" outlineLevel="0" collapsed="false">
      <c r="A29" s="16" t="n">
        <v>25</v>
      </c>
      <c r="B29" s="17" t="s">
        <v>274</v>
      </c>
      <c r="C29" s="5" t="n">
        <v>1</v>
      </c>
      <c r="D29" s="5" t="n">
        <v>190</v>
      </c>
      <c r="E29" s="6" t="n">
        <v>1396</v>
      </c>
      <c r="F29" s="6" t="n">
        <v>8</v>
      </c>
      <c r="G29" s="5" t="n">
        <v>204</v>
      </c>
      <c r="H29" s="6" t="n">
        <v>284.78</v>
      </c>
      <c r="I29" s="6" t="n">
        <v>284.78</v>
      </c>
      <c r="J29" s="6" t="n">
        <v>10.77</v>
      </c>
    </row>
    <row r="30" customFormat="false" ht="15" hidden="false" customHeight="false" outlineLevel="0" collapsed="false">
      <c r="A30" s="16" t="n">
        <v>26</v>
      </c>
      <c r="B30" s="17" t="s">
        <v>275</v>
      </c>
      <c r="C30" s="5" t="n">
        <v>1</v>
      </c>
      <c r="D30" s="5" t="n">
        <v>114</v>
      </c>
      <c r="E30" s="6" t="n">
        <v>623.5</v>
      </c>
      <c r="F30" s="6" t="n">
        <v>8.4</v>
      </c>
      <c r="G30" s="5" t="n">
        <v>750</v>
      </c>
      <c r="H30" s="6" t="n">
        <v>467.63</v>
      </c>
      <c r="I30" s="6" t="n">
        <v>467.63</v>
      </c>
      <c r="J30" s="6" t="n">
        <v>23.75</v>
      </c>
    </row>
    <row r="31" customFormat="false" ht="15" hidden="false" customHeight="false" outlineLevel="0" collapsed="false">
      <c r="A31" s="16" t="n">
        <v>27</v>
      </c>
      <c r="B31" s="17" t="s">
        <v>276</v>
      </c>
      <c r="C31" s="5" t="n">
        <v>2</v>
      </c>
      <c r="D31" s="5" t="n">
        <v>52.5</v>
      </c>
      <c r="E31" s="6" t="n">
        <v>291</v>
      </c>
      <c r="F31" s="6" t="n">
        <v>39.5</v>
      </c>
      <c r="G31" s="5" t="n">
        <v>180</v>
      </c>
      <c r="H31" s="6" t="n">
        <v>52.38</v>
      </c>
      <c r="I31" s="6" t="n">
        <v>52.38</v>
      </c>
      <c r="J31" s="6" t="n">
        <v>2.63</v>
      </c>
    </row>
    <row r="32" customFormat="false" ht="15" hidden="false" customHeight="false" outlineLevel="0" collapsed="false">
      <c r="A32" s="16" t="n">
        <v>28</v>
      </c>
      <c r="B32" s="17" t="s">
        <v>277</v>
      </c>
      <c r="C32" s="5" t="n">
        <v>2</v>
      </c>
      <c r="D32" s="5" t="n">
        <v>41.5</v>
      </c>
      <c r="E32" s="6" t="n">
        <v>155</v>
      </c>
      <c r="F32" s="6" t="n">
        <v>17.5</v>
      </c>
      <c r="G32" s="5" t="n">
        <v>750</v>
      </c>
      <c r="H32" s="6" t="n">
        <v>116.25</v>
      </c>
      <c r="I32" s="6" t="n">
        <v>116.25</v>
      </c>
      <c r="J32" s="6" t="n">
        <v>8.65</v>
      </c>
    </row>
    <row r="33" customFormat="false" ht="15" hidden="false" customHeight="false" outlineLevel="0" collapsed="false">
      <c r="A33" s="16" t="n">
        <v>29</v>
      </c>
      <c r="B33" s="17" t="s">
        <v>278</v>
      </c>
      <c r="C33" s="5" t="n">
        <v>0</v>
      </c>
      <c r="D33" s="5"/>
      <c r="E33" s="6"/>
      <c r="F33" s="6"/>
      <c r="G33" s="5" t="n">
        <v>480</v>
      </c>
      <c r="H33" s="6" t="n">
        <v>19.68</v>
      </c>
      <c r="I33" s="6" t="n">
        <v>19.68</v>
      </c>
      <c r="J33" s="6" t="n">
        <v>7</v>
      </c>
    </row>
    <row r="34" customFormat="false" ht="15" hidden="false" customHeight="false" outlineLevel="0" collapsed="false">
      <c r="A34" s="16" t="n">
        <v>30</v>
      </c>
      <c r="B34" s="17" t="s">
        <v>279</v>
      </c>
      <c r="C34" s="5" t="n">
        <v>0</v>
      </c>
      <c r="D34" s="5"/>
      <c r="E34" s="6"/>
      <c r="F34" s="6"/>
      <c r="G34" s="5" t="n">
        <v>480</v>
      </c>
      <c r="H34" s="6" t="n">
        <v>21.6</v>
      </c>
      <c r="I34" s="6" t="n">
        <v>21.6</v>
      </c>
      <c r="J34" s="6" t="n">
        <v>7</v>
      </c>
    </row>
    <row r="35" customFormat="false" ht="15" hidden="false" customHeight="false" outlineLevel="0" collapsed="false">
      <c r="A35" s="16" t="n">
        <v>31</v>
      </c>
      <c r="B35" s="17" t="s">
        <v>280</v>
      </c>
      <c r="C35" s="5" t="n">
        <v>0</v>
      </c>
      <c r="D35" s="5"/>
      <c r="E35" s="6"/>
      <c r="F35" s="6"/>
      <c r="G35" s="5" t="n">
        <v>600</v>
      </c>
      <c r="H35" s="6" t="n">
        <v>26.4</v>
      </c>
      <c r="I35" s="6" t="n">
        <v>26.4</v>
      </c>
      <c r="J35" s="6" t="n">
        <v>8.75</v>
      </c>
    </row>
    <row r="36" customFormat="false" ht="15" hidden="false" customHeight="false" outlineLevel="0" collapsed="false">
      <c r="A36" s="16" t="n">
        <v>32</v>
      </c>
      <c r="B36" s="17" t="s">
        <v>281</v>
      </c>
      <c r="C36" s="5" t="n">
        <v>0</v>
      </c>
      <c r="D36" s="5"/>
      <c r="E36" s="6"/>
      <c r="F36" s="6"/>
      <c r="G36" s="5"/>
      <c r="H36" s="6"/>
      <c r="I36" s="6"/>
      <c r="J36" s="6"/>
    </row>
    <row r="37" customFormat="false" ht="15" hidden="false" customHeight="false" outlineLevel="0" collapsed="false">
      <c r="A37" s="16" t="n">
        <v>33</v>
      </c>
      <c r="B37" s="17" t="s">
        <v>282</v>
      </c>
      <c r="C37" s="5" t="n">
        <v>2</v>
      </c>
      <c r="D37" s="5" t="n">
        <v>128</v>
      </c>
      <c r="E37" s="6" t="n">
        <v>397</v>
      </c>
      <c r="F37" s="6" t="n">
        <v>20.5</v>
      </c>
      <c r="G37" s="5"/>
      <c r="H37" s="6"/>
      <c r="I37" s="6"/>
      <c r="J37" s="6"/>
    </row>
    <row r="38" customFormat="false" ht="15" hidden="false" customHeight="false" outlineLevel="0" collapsed="false">
      <c r="A38" s="16" t="n">
        <v>34</v>
      </c>
      <c r="B38" s="17" t="s">
        <v>283</v>
      </c>
      <c r="C38" s="5" t="n">
        <v>0</v>
      </c>
      <c r="D38" s="5"/>
      <c r="E38" s="6"/>
      <c r="F38" s="6"/>
      <c r="G38" s="5"/>
      <c r="H38" s="6"/>
      <c r="I38" s="6"/>
      <c r="J38" s="6"/>
    </row>
    <row r="39" customFormat="false" ht="15" hidden="false" customHeight="false" outlineLevel="0" collapsed="false">
      <c r="A39" s="16" t="n">
        <v>35</v>
      </c>
      <c r="B39" s="17" t="s">
        <v>284</v>
      </c>
      <c r="C39" s="5" t="n">
        <v>2</v>
      </c>
      <c r="D39" s="5" t="n">
        <v>42</v>
      </c>
      <c r="E39" s="6" t="n">
        <v>120</v>
      </c>
      <c r="F39" s="6" t="n">
        <v>24.5</v>
      </c>
      <c r="G39" s="5"/>
      <c r="H39" s="6"/>
      <c r="I39" s="6"/>
      <c r="J39" s="6"/>
    </row>
    <row r="40" customFormat="false" ht="15" hidden="false" customHeight="false" outlineLevel="0" collapsed="false">
      <c r="A40" s="16" t="n">
        <v>36</v>
      </c>
      <c r="B40" s="17" t="s">
        <v>267</v>
      </c>
      <c r="C40" s="5" t="n">
        <v>2</v>
      </c>
      <c r="D40" s="5" t="n">
        <v>39</v>
      </c>
      <c r="E40" s="6" t="n">
        <v>70</v>
      </c>
      <c r="F40" s="6" t="n">
        <v>22.5</v>
      </c>
      <c r="G40" s="5"/>
      <c r="H40" s="6"/>
      <c r="I40" s="6"/>
      <c r="J40" s="6"/>
    </row>
    <row r="41" customFormat="false" ht="15" hidden="false" customHeight="false" outlineLevel="0" collapsed="false">
      <c r="A41" s="16" t="n">
        <v>37</v>
      </c>
      <c r="B41" s="17" t="s">
        <v>254</v>
      </c>
      <c r="C41" s="5" t="n">
        <v>1</v>
      </c>
      <c r="D41" s="5" t="n">
        <v>185</v>
      </c>
      <c r="E41" s="6" t="n">
        <v>725</v>
      </c>
      <c r="F41" s="6" t="n">
        <v>9</v>
      </c>
      <c r="G41" s="5"/>
      <c r="H41" s="6"/>
      <c r="I41" s="6"/>
      <c r="J41" s="6"/>
    </row>
    <row r="42" customFormat="false" ht="15" hidden="false" customHeight="false" outlineLevel="0" collapsed="false">
      <c r="A42" s="16" t="n">
        <v>38</v>
      </c>
      <c r="B42" s="17" t="s">
        <v>260</v>
      </c>
      <c r="C42" s="5" t="n">
        <v>1</v>
      </c>
      <c r="D42" s="5" t="n">
        <v>100</v>
      </c>
      <c r="E42" s="6" t="n">
        <v>533</v>
      </c>
      <c r="F42" s="6" t="n">
        <v>8.7</v>
      </c>
      <c r="G42" s="5"/>
      <c r="H42" s="6"/>
      <c r="I42" s="6"/>
      <c r="J42" s="6"/>
    </row>
    <row r="43" customFormat="false" ht="15" hidden="false" customHeight="false" outlineLevel="0" collapsed="false">
      <c r="A43" s="16" t="n">
        <v>39</v>
      </c>
      <c r="B43" s="17" t="s">
        <v>285</v>
      </c>
      <c r="C43" s="5" t="n">
        <v>8</v>
      </c>
      <c r="D43" s="5" t="n">
        <v>11.625</v>
      </c>
      <c r="E43" s="6" t="n">
        <v>78.9</v>
      </c>
      <c r="F43" s="6" t="n">
        <v>9.5625</v>
      </c>
      <c r="G43" s="5"/>
      <c r="H43" s="6"/>
      <c r="I43" s="6"/>
      <c r="J43" s="6"/>
    </row>
    <row r="44" customFormat="false" ht="15" hidden="false" customHeight="false" outlineLevel="0" collapsed="false">
      <c r="A44" s="16" t="n">
        <v>40</v>
      </c>
      <c r="B44" s="17" t="s">
        <v>286</v>
      </c>
      <c r="C44" s="5" t="n">
        <v>0</v>
      </c>
      <c r="D44" s="5"/>
      <c r="E44" s="6"/>
      <c r="F44" s="6"/>
      <c r="G44" s="5"/>
      <c r="H44" s="6"/>
      <c r="I44" s="6"/>
      <c r="J44" s="6"/>
    </row>
    <row r="45" customFormat="false" ht="15" hidden="false" customHeight="false" outlineLevel="0" collapsed="false">
      <c r="A45" s="16" t="n">
        <v>41</v>
      </c>
      <c r="B45" s="17" t="s">
        <v>253</v>
      </c>
      <c r="C45" s="5" t="n">
        <v>1</v>
      </c>
      <c r="D45" s="5" t="n">
        <v>95</v>
      </c>
      <c r="E45" s="6" t="n">
        <v>174</v>
      </c>
      <c r="F45" s="6" t="n">
        <v>5</v>
      </c>
      <c r="G45" s="5"/>
      <c r="H45" s="6"/>
      <c r="I45" s="6"/>
      <c r="J45" s="6"/>
    </row>
    <row r="46" customFormat="false" ht="15" hidden="false" customHeight="false" outlineLevel="0" collapsed="false">
      <c r="A46" s="16" t="n">
        <v>42</v>
      </c>
      <c r="B46" s="17" t="s">
        <v>287</v>
      </c>
      <c r="C46" s="5" t="n">
        <v>1</v>
      </c>
      <c r="D46" s="5" t="n">
        <v>115</v>
      </c>
      <c r="E46" s="6" t="n">
        <v>236</v>
      </c>
      <c r="F46" s="6" t="n">
        <v>30</v>
      </c>
      <c r="G46" s="5"/>
      <c r="H46" s="6"/>
      <c r="I46" s="6"/>
      <c r="J46" s="6"/>
    </row>
    <row r="47" customFormat="false" ht="15" hidden="false" customHeight="false" outlineLevel="0" collapsed="false">
      <c r="A47" s="16" t="n">
        <v>43</v>
      </c>
      <c r="B47" s="17" t="s">
        <v>288</v>
      </c>
      <c r="C47" s="5" t="n">
        <v>1</v>
      </c>
      <c r="D47" s="5" t="n">
        <v>118</v>
      </c>
      <c r="E47" s="6" t="n">
        <v>552</v>
      </c>
      <c r="F47" s="6" t="n">
        <v>8</v>
      </c>
      <c r="G47" s="5"/>
      <c r="H47" s="6"/>
      <c r="I47" s="6"/>
      <c r="J47" s="6"/>
    </row>
    <row r="48" customFormat="false" ht="15" hidden="false" customHeight="false" outlineLevel="0" collapsed="false">
      <c r="A48" s="16" t="n">
        <v>44</v>
      </c>
      <c r="B48" s="17" t="s">
        <v>271</v>
      </c>
      <c r="C48" s="5" t="n">
        <v>1</v>
      </c>
      <c r="D48" s="5" t="n">
        <v>124</v>
      </c>
      <c r="E48" s="6" t="n">
        <v>507.5</v>
      </c>
      <c r="F48" s="6" t="n">
        <v>8</v>
      </c>
      <c r="G48" s="5"/>
      <c r="H48" s="6"/>
      <c r="I48" s="6"/>
      <c r="J48" s="6"/>
    </row>
    <row r="49" customFormat="false" ht="15" hidden="false" customHeight="false" outlineLevel="0" collapsed="false">
      <c r="A49" s="18" t="s">
        <v>14</v>
      </c>
      <c r="B49" s="18"/>
      <c r="C49" s="18"/>
      <c r="D49" s="18"/>
      <c r="E49" s="18"/>
      <c r="F49" s="18"/>
      <c r="G49" s="19" t="n">
        <f aca="false">SUM(G5:G48)</f>
        <v>39595</v>
      </c>
      <c r="H49" s="20" t="n">
        <f aca="false">SUM(H5:H48)</f>
        <v>8586.19</v>
      </c>
      <c r="I49" s="20" t="n">
        <f aca="false">SUM(I5:I48)</f>
        <v>8586.16</v>
      </c>
      <c r="J49" s="20" t="n">
        <f aca="false">SUM(J5:J48)</f>
        <v>672.93</v>
      </c>
    </row>
  </sheetData>
  <mergeCells count="3">
    <mergeCell ref="A1:J1"/>
    <mergeCell ref="A2:J2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2026-07-01T02:27:51Z</dcterms:created>
  <dc:creator>openpyxl</dc:creator>
  <dc:description/>
  <dc:language>en-US</dc:language>
  <cp:lastModifiedBy/>
  <dcterms:modified xsi:type="dcterms:W3CDTF">2026-07-01T02:27:51Z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